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ink/ink1.xml" ContentType="application/inkml+xml"/>
  <Override PartName="/xl/ink/ink2.xml" ContentType="application/inkml+xml"/>
  <Override PartName="/xl/ink/ink3.xml" ContentType="application/inkml+xml"/>
  <Override PartName="/xl/ink/ink4.xml" ContentType="application/inkml+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mc:AlternateContent xmlns:mc="http://schemas.openxmlformats.org/markup-compatibility/2006">
    <mc:Choice Requires="x15">
      <x15ac:absPath xmlns:x15ac="http://schemas.microsoft.com/office/spreadsheetml/2010/11/ac" url="C:\Users\User\Documents\Documents\my projects\Excel\"/>
    </mc:Choice>
  </mc:AlternateContent>
  <xr:revisionPtr revIDLastSave="0" documentId="13_ncr:1_{8159BF48-1BC9-493C-93B2-802B50886692}" xr6:coauthVersionLast="47" xr6:coauthVersionMax="47" xr10:uidLastSave="{00000000-0000-0000-0000-000000000000}"/>
  <bookViews>
    <workbookView xWindow="-108" yWindow="-108" windowWidth="23256" windowHeight="12456" activeTab="1" xr2:uid="{00000000-000D-0000-FFFF-FFFF00000000}"/>
  </bookViews>
  <sheets>
    <sheet name="Pivot tables" sheetId="2" r:id="rId1"/>
    <sheet name="Dashboard" sheetId="3" r:id="rId2"/>
    <sheet name="Sales Data" sheetId="1" r:id="rId3"/>
  </sheets>
  <definedNames>
    <definedName name="Slicer_Product">#N/A</definedName>
    <definedName name="Slicer_Region">#N/A</definedName>
    <definedName name="Slicer_Sales_Person">#N/A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4" i="1" l="1"/>
  <c r="L13" i="1"/>
  <c r="L10" i="1"/>
  <c r="L7" i="1"/>
  <c r="I2"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I502" i="1"/>
  <c r="I503" i="1"/>
  <c r="I504" i="1"/>
  <c r="I505" i="1"/>
  <c r="I506" i="1"/>
  <c r="I507" i="1"/>
  <c r="I508" i="1"/>
  <c r="I509" i="1"/>
  <c r="I510" i="1"/>
  <c r="I511" i="1"/>
  <c r="I512" i="1"/>
  <c r="I513" i="1"/>
  <c r="I514" i="1"/>
  <c r="I515" i="1"/>
  <c r="I516" i="1"/>
  <c r="I517" i="1"/>
  <c r="I518" i="1"/>
  <c r="I519" i="1"/>
  <c r="I520" i="1"/>
  <c r="I521" i="1"/>
  <c r="I522" i="1"/>
  <c r="I523" i="1"/>
  <c r="I524" i="1"/>
  <c r="I525" i="1"/>
  <c r="I526" i="1"/>
  <c r="I527" i="1"/>
  <c r="I528" i="1"/>
  <c r="I529" i="1"/>
  <c r="I530" i="1"/>
  <c r="I531" i="1"/>
  <c r="I532" i="1"/>
  <c r="I533" i="1"/>
  <c r="I534" i="1"/>
  <c r="I535" i="1"/>
  <c r="I536" i="1"/>
  <c r="I537" i="1"/>
  <c r="I538" i="1"/>
  <c r="I539" i="1"/>
  <c r="I540" i="1"/>
  <c r="I541" i="1"/>
  <c r="I542" i="1"/>
  <c r="I543" i="1"/>
  <c r="I544" i="1"/>
  <c r="I545" i="1"/>
  <c r="I546" i="1"/>
  <c r="I547" i="1"/>
  <c r="I548" i="1"/>
  <c r="I549" i="1"/>
  <c r="I550" i="1"/>
  <c r="I551" i="1"/>
  <c r="I552" i="1"/>
  <c r="I553" i="1"/>
  <c r="I554" i="1"/>
  <c r="I555" i="1"/>
  <c r="I556" i="1"/>
  <c r="I557" i="1"/>
  <c r="I558" i="1"/>
  <c r="I559" i="1"/>
  <c r="I560" i="1"/>
  <c r="I561" i="1"/>
  <c r="I562" i="1"/>
  <c r="I563" i="1"/>
  <c r="I564" i="1"/>
  <c r="I565" i="1"/>
  <c r="I566" i="1"/>
  <c r="I567" i="1"/>
  <c r="I568" i="1"/>
  <c r="I569" i="1"/>
  <c r="I570" i="1"/>
  <c r="I571" i="1"/>
  <c r="I572" i="1"/>
  <c r="I573" i="1"/>
  <c r="I574" i="1"/>
  <c r="I575" i="1"/>
  <c r="I576" i="1"/>
  <c r="I577" i="1"/>
  <c r="I578" i="1"/>
  <c r="I579" i="1"/>
  <c r="I580" i="1"/>
  <c r="I581" i="1"/>
  <c r="I582" i="1"/>
  <c r="I583" i="1"/>
  <c r="I584" i="1"/>
  <c r="I585" i="1"/>
  <c r="I586" i="1"/>
  <c r="I587" i="1"/>
  <c r="I588" i="1"/>
  <c r="I589" i="1"/>
  <c r="I590" i="1"/>
  <c r="I591" i="1"/>
  <c r="I592" i="1"/>
  <c r="I593" i="1"/>
  <c r="I594" i="1"/>
  <c r="I595" i="1"/>
  <c r="I596" i="1"/>
  <c r="I597" i="1"/>
  <c r="I598" i="1"/>
  <c r="I599" i="1"/>
  <c r="I600" i="1"/>
  <c r="I601" i="1"/>
  <c r="I602" i="1"/>
  <c r="I603" i="1"/>
  <c r="I604" i="1"/>
  <c r="I605" i="1"/>
  <c r="I606" i="1"/>
  <c r="I607" i="1"/>
  <c r="I608" i="1"/>
  <c r="I609" i="1"/>
  <c r="I610" i="1"/>
  <c r="I611" i="1"/>
  <c r="I612" i="1"/>
  <c r="I613" i="1"/>
  <c r="I614" i="1"/>
  <c r="I615" i="1"/>
  <c r="I616" i="1"/>
  <c r="I617" i="1"/>
  <c r="I618" i="1"/>
  <c r="I619" i="1"/>
  <c r="I620" i="1"/>
  <c r="I621" i="1"/>
  <c r="I622" i="1"/>
  <c r="I623" i="1"/>
  <c r="I624" i="1"/>
  <c r="I625" i="1"/>
  <c r="I626" i="1"/>
  <c r="I627" i="1"/>
  <c r="I628" i="1"/>
  <c r="I629" i="1"/>
  <c r="I630" i="1"/>
  <c r="I631" i="1"/>
  <c r="I632" i="1"/>
  <c r="I633" i="1"/>
  <c r="I634" i="1"/>
  <c r="I635" i="1"/>
  <c r="I636" i="1"/>
  <c r="I637" i="1"/>
  <c r="I638" i="1"/>
  <c r="I639" i="1"/>
  <c r="I640" i="1"/>
  <c r="I641" i="1"/>
  <c r="I642" i="1"/>
  <c r="I643" i="1"/>
  <c r="I644" i="1"/>
  <c r="I645" i="1"/>
  <c r="I646" i="1"/>
  <c r="I647" i="1"/>
  <c r="I648" i="1"/>
  <c r="I649" i="1"/>
  <c r="I650" i="1"/>
  <c r="I651" i="1"/>
  <c r="I652" i="1"/>
  <c r="I653" i="1"/>
  <c r="I654" i="1"/>
  <c r="I655" i="1"/>
  <c r="I656" i="1"/>
  <c r="I657" i="1"/>
  <c r="I658" i="1"/>
  <c r="I659" i="1"/>
  <c r="I660" i="1"/>
  <c r="I661" i="1"/>
  <c r="I662" i="1"/>
  <c r="I663" i="1"/>
  <c r="I664" i="1"/>
  <c r="I665" i="1"/>
  <c r="I666" i="1"/>
  <c r="I667" i="1"/>
  <c r="I668" i="1"/>
  <c r="I669" i="1"/>
  <c r="I670" i="1"/>
  <c r="I671" i="1"/>
  <c r="I672" i="1"/>
  <c r="I673" i="1"/>
  <c r="I674" i="1"/>
  <c r="I675" i="1"/>
  <c r="I676" i="1"/>
  <c r="I677" i="1"/>
  <c r="I678" i="1"/>
  <c r="I679" i="1"/>
  <c r="I680" i="1"/>
  <c r="I681" i="1"/>
  <c r="I682" i="1"/>
  <c r="I683" i="1"/>
  <c r="I684" i="1"/>
  <c r="I685" i="1"/>
  <c r="I686" i="1"/>
  <c r="I687" i="1"/>
  <c r="I688" i="1"/>
  <c r="I689" i="1"/>
  <c r="I690" i="1"/>
  <c r="I691" i="1"/>
  <c r="I692" i="1"/>
  <c r="I693" i="1"/>
  <c r="I694" i="1"/>
  <c r="I695" i="1"/>
  <c r="I696" i="1"/>
  <c r="I697" i="1"/>
  <c r="I698" i="1"/>
  <c r="I699" i="1"/>
  <c r="I700" i="1"/>
  <c r="I701" i="1"/>
  <c r="I702" i="1"/>
  <c r="I703" i="1"/>
  <c r="I704" i="1"/>
  <c r="I705" i="1"/>
  <c r="I706" i="1"/>
  <c r="I707" i="1"/>
  <c r="I708" i="1"/>
  <c r="I709" i="1"/>
  <c r="I710" i="1"/>
  <c r="I711" i="1"/>
  <c r="I712" i="1"/>
  <c r="I713" i="1"/>
  <c r="I714" i="1"/>
  <c r="I715" i="1"/>
  <c r="I716" i="1"/>
  <c r="I717" i="1"/>
  <c r="I718" i="1"/>
  <c r="I719" i="1"/>
  <c r="I720" i="1"/>
  <c r="I721" i="1"/>
  <c r="I722" i="1"/>
  <c r="I723" i="1"/>
  <c r="I724" i="1"/>
  <c r="I725" i="1"/>
  <c r="I726" i="1"/>
  <c r="I727" i="1"/>
  <c r="I728" i="1"/>
  <c r="I729" i="1"/>
  <c r="I730" i="1"/>
  <c r="I731" i="1"/>
  <c r="I732" i="1"/>
  <c r="I733" i="1"/>
  <c r="I734" i="1"/>
  <c r="I735" i="1"/>
  <c r="I736" i="1"/>
  <c r="I737" i="1"/>
  <c r="I738" i="1"/>
  <c r="I739" i="1"/>
  <c r="I740" i="1"/>
  <c r="I741" i="1"/>
  <c r="I742" i="1"/>
  <c r="I743" i="1"/>
  <c r="I744" i="1"/>
  <c r="I745" i="1"/>
  <c r="I746" i="1"/>
  <c r="I747" i="1"/>
  <c r="I748" i="1"/>
  <c r="I749" i="1"/>
  <c r="I750" i="1"/>
  <c r="I751" i="1"/>
  <c r="I752" i="1"/>
  <c r="I753" i="1"/>
  <c r="I754" i="1"/>
  <c r="I755" i="1"/>
  <c r="I756" i="1"/>
  <c r="I757" i="1"/>
  <c r="I758" i="1"/>
  <c r="I759" i="1"/>
  <c r="I760" i="1"/>
  <c r="I761" i="1"/>
  <c r="I762" i="1"/>
  <c r="I763" i="1"/>
  <c r="I764" i="1"/>
  <c r="I765" i="1"/>
  <c r="I766" i="1"/>
  <c r="I767" i="1"/>
  <c r="I768" i="1"/>
  <c r="I769" i="1"/>
  <c r="I770" i="1"/>
  <c r="I771" i="1"/>
  <c r="I772" i="1"/>
  <c r="I773" i="1"/>
  <c r="I774" i="1"/>
  <c r="I775" i="1"/>
  <c r="I776" i="1"/>
  <c r="I777" i="1"/>
  <c r="I778" i="1"/>
  <c r="I779" i="1"/>
  <c r="I780" i="1"/>
  <c r="I781" i="1"/>
  <c r="I782" i="1"/>
  <c r="I783" i="1"/>
  <c r="I784" i="1"/>
  <c r="I785" i="1"/>
  <c r="I786" i="1"/>
  <c r="I787" i="1"/>
  <c r="I788" i="1"/>
  <c r="I789" i="1"/>
  <c r="I790" i="1"/>
  <c r="I791" i="1"/>
  <c r="I792" i="1"/>
  <c r="I793" i="1"/>
  <c r="I794" i="1"/>
  <c r="I795" i="1"/>
  <c r="I796" i="1"/>
  <c r="I797" i="1"/>
  <c r="I798" i="1"/>
  <c r="I799" i="1"/>
  <c r="I800" i="1"/>
  <c r="I801" i="1"/>
  <c r="I802" i="1"/>
  <c r="I803" i="1"/>
  <c r="I804" i="1"/>
  <c r="I805" i="1"/>
  <c r="I806" i="1"/>
  <c r="I807" i="1"/>
  <c r="I808" i="1"/>
  <c r="I809" i="1"/>
  <c r="I810" i="1"/>
  <c r="I811" i="1"/>
  <c r="I812" i="1"/>
  <c r="I813" i="1"/>
  <c r="I814" i="1"/>
  <c r="I815" i="1"/>
  <c r="I816" i="1"/>
  <c r="I817" i="1"/>
  <c r="I818" i="1"/>
  <c r="I819" i="1"/>
  <c r="I820" i="1"/>
  <c r="I821" i="1"/>
  <c r="I822" i="1"/>
  <c r="I823" i="1"/>
  <c r="I824" i="1"/>
  <c r="I825" i="1"/>
  <c r="I826" i="1"/>
  <c r="I827" i="1"/>
  <c r="I828" i="1"/>
  <c r="I829" i="1"/>
  <c r="I830" i="1"/>
  <c r="I831" i="1"/>
  <c r="I832" i="1"/>
  <c r="I833" i="1"/>
  <c r="I834" i="1"/>
  <c r="I835" i="1"/>
  <c r="I836" i="1"/>
  <c r="I837" i="1"/>
  <c r="I838" i="1"/>
  <c r="I839" i="1"/>
  <c r="I840" i="1"/>
  <c r="I841" i="1"/>
  <c r="I842" i="1"/>
  <c r="I843" i="1"/>
  <c r="I844" i="1"/>
  <c r="I845" i="1"/>
  <c r="I846" i="1"/>
  <c r="I847" i="1"/>
  <c r="I848" i="1"/>
  <c r="I849" i="1"/>
  <c r="I850" i="1"/>
  <c r="I851" i="1"/>
  <c r="I852" i="1"/>
  <c r="I853" i="1"/>
  <c r="I854" i="1"/>
  <c r="I855" i="1"/>
  <c r="I856" i="1"/>
  <c r="I857" i="1"/>
  <c r="I858" i="1"/>
  <c r="I859" i="1"/>
  <c r="I860" i="1"/>
  <c r="I861" i="1"/>
  <c r="I862" i="1"/>
  <c r="I863" i="1"/>
  <c r="I864" i="1"/>
  <c r="I865" i="1"/>
  <c r="I866" i="1"/>
  <c r="I867" i="1"/>
  <c r="I868" i="1"/>
  <c r="I869" i="1"/>
  <c r="I870" i="1"/>
  <c r="I871" i="1"/>
  <c r="I872" i="1"/>
  <c r="I873" i="1"/>
  <c r="I874" i="1"/>
  <c r="I875" i="1"/>
  <c r="I876" i="1"/>
  <c r="I877" i="1"/>
  <c r="I878" i="1"/>
  <c r="I879" i="1"/>
  <c r="I880" i="1"/>
  <c r="I881" i="1"/>
  <c r="I882" i="1"/>
  <c r="I883" i="1"/>
  <c r="I884" i="1"/>
  <c r="I885" i="1"/>
  <c r="I886" i="1"/>
  <c r="I887" i="1"/>
  <c r="I888" i="1"/>
  <c r="I889" i="1"/>
  <c r="I890" i="1"/>
  <c r="I891" i="1"/>
  <c r="I892" i="1"/>
  <c r="I893" i="1"/>
  <c r="I894" i="1"/>
  <c r="I895" i="1"/>
  <c r="I896" i="1"/>
  <c r="I897" i="1"/>
  <c r="I898" i="1"/>
  <c r="I899" i="1"/>
  <c r="I900" i="1"/>
  <c r="I901" i="1"/>
  <c r="I902" i="1"/>
  <c r="I903" i="1"/>
  <c r="I904" i="1"/>
  <c r="I905" i="1"/>
  <c r="I906" i="1"/>
  <c r="I907" i="1"/>
  <c r="I908" i="1"/>
  <c r="I909" i="1"/>
  <c r="I910" i="1"/>
  <c r="I911" i="1"/>
  <c r="I912" i="1"/>
  <c r="I913" i="1"/>
  <c r="I914" i="1"/>
  <c r="I915" i="1"/>
  <c r="I916" i="1"/>
  <c r="I917" i="1"/>
  <c r="I918" i="1"/>
  <c r="I919" i="1"/>
  <c r="I920" i="1"/>
  <c r="I921" i="1"/>
  <c r="I922" i="1"/>
  <c r="I923" i="1"/>
  <c r="I924" i="1"/>
  <c r="I925" i="1"/>
  <c r="I926" i="1"/>
  <c r="I927" i="1"/>
  <c r="I928" i="1"/>
  <c r="I929" i="1"/>
  <c r="I930" i="1"/>
  <c r="I931" i="1"/>
  <c r="I932" i="1"/>
  <c r="I933" i="1"/>
  <c r="I934" i="1"/>
  <c r="I935" i="1"/>
  <c r="I936" i="1"/>
  <c r="I937" i="1"/>
  <c r="I938" i="1"/>
  <c r="I939" i="1"/>
  <c r="I940" i="1"/>
  <c r="I941" i="1"/>
  <c r="I942" i="1"/>
  <c r="I943" i="1"/>
  <c r="I944" i="1"/>
  <c r="I945" i="1"/>
  <c r="I946" i="1"/>
  <c r="I947" i="1"/>
  <c r="I948" i="1"/>
  <c r="I949" i="1"/>
  <c r="I950" i="1"/>
  <c r="I951" i="1"/>
  <c r="I952" i="1"/>
  <c r="I953" i="1"/>
  <c r="I954" i="1"/>
  <c r="I955" i="1"/>
  <c r="I956" i="1"/>
  <c r="I957" i="1"/>
  <c r="I958" i="1"/>
  <c r="I959" i="1"/>
  <c r="I960" i="1"/>
  <c r="I961" i="1"/>
  <c r="I962" i="1"/>
  <c r="I963" i="1"/>
  <c r="I964" i="1"/>
  <c r="I965" i="1"/>
  <c r="I966" i="1"/>
  <c r="I967" i="1"/>
  <c r="I968" i="1"/>
  <c r="I969" i="1"/>
  <c r="I970" i="1"/>
  <c r="I971" i="1"/>
  <c r="I972" i="1"/>
  <c r="I973" i="1"/>
  <c r="I974" i="1"/>
  <c r="I975" i="1"/>
  <c r="I976" i="1"/>
  <c r="I977" i="1"/>
  <c r="I978" i="1"/>
  <c r="I979" i="1"/>
  <c r="I980" i="1"/>
  <c r="I981" i="1"/>
  <c r="I982" i="1"/>
  <c r="I983" i="1"/>
  <c r="I984" i="1"/>
  <c r="I985" i="1"/>
  <c r="I986" i="1"/>
  <c r="I987" i="1"/>
  <c r="I988" i="1"/>
  <c r="I989" i="1"/>
  <c r="I990" i="1"/>
  <c r="I991" i="1"/>
  <c r="I992" i="1"/>
  <c r="I993" i="1"/>
  <c r="I994" i="1"/>
  <c r="I995" i="1"/>
  <c r="I996" i="1"/>
  <c r="I997" i="1"/>
  <c r="I998" i="1"/>
  <c r="I999" i="1"/>
  <c r="I1000" i="1"/>
  <c r="I1001" i="1"/>
  <c r="I1002" i="1"/>
  <c r="I1003" i="1"/>
  <c r="I1004" i="1"/>
  <c r="I1005" i="1"/>
  <c r="I1006" i="1"/>
  <c r="I1007" i="1"/>
  <c r="I1008" i="1"/>
  <c r="I1009" i="1"/>
  <c r="I1010" i="1"/>
  <c r="I1011" i="1"/>
  <c r="I1012" i="1"/>
  <c r="I1013" i="1"/>
  <c r="I1014" i="1"/>
  <c r="I1015" i="1"/>
  <c r="I1016" i="1"/>
  <c r="I1017" i="1"/>
  <c r="I1018" i="1"/>
  <c r="I1019" i="1"/>
  <c r="I1020" i="1"/>
  <c r="I1021" i="1"/>
  <c r="I1022" i="1"/>
  <c r="I1023" i="1"/>
  <c r="I1024" i="1"/>
  <c r="I1025" i="1"/>
  <c r="I1026" i="1"/>
  <c r="I1027" i="1"/>
  <c r="I1028" i="1"/>
  <c r="I1029" i="1"/>
  <c r="I1030" i="1"/>
  <c r="I1031" i="1"/>
  <c r="I1032" i="1"/>
  <c r="I1033" i="1"/>
  <c r="I1034" i="1"/>
  <c r="I1035" i="1"/>
  <c r="I1036" i="1"/>
  <c r="I1037" i="1"/>
  <c r="I1038" i="1"/>
  <c r="I1039" i="1"/>
  <c r="I1040" i="1"/>
  <c r="I1041" i="1"/>
  <c r="I1042" i="1"/>
  <c r="I1043" i="1"/>
  <c r="I1044" i="1"/>
  <c r="I1045" i="1"/>
  <c r="I1046" i="1"/>
  <c r="I1047" i="1"/>
  <c r="I1048" i="1"/>
  <c r="I1049" i="1"/>
  <c r="I1050" i="1"/>
  <c r="I1051" i="1"/>
  <c r="I1052" i="1"/>
  <c r="I1053" i="1"/>
  <c r="I1054" i="1"/>
  <c r="I1055" i="1"/>
  <c r="I1056" i="1"/>
  <c r="I1057" i="1"/>
  <c r="I1058" i="1"/>
  <c r="I1059" i="1"/>
  <c r="I1060" i="1"/>
  <c r="I1061" i="1"/>
  <c r="I1062" i="1"/>
  <c r="I1063" i="1"/>
  <c r="I1064" i="1"/>
  <c r="I1065" i="1"/>
  <c r="I1066" i="1"/>
  <c r="I1067" i="1"/>
  <c r="I1068" i="1"/>
  <c r="I1069" i="1"/>
  <c r="I1070" i="1"/>
  <c r="I1071" i="1"/>
  <c r="I1072" i="1"/>
  <c r="I1073" i="1"/>
  <c r="I1074" i="1"/>
  <c r="I1075" i="1"/>
  <c r="I1076" i="1"/>
  <c r="I1077" i="1"/>
  <c r="I1078" i="1"/>
  <c r="I1079" i="1"/>
  <c r="I1080" i="1"/>
  <c r="I1081" i="1"/>
  <c r="I1082" i="1"/>
  <c r="I1083" i="1"/>
  <c r="I1084" i="1"/>
  <c r="I1085" i="1"/>
  <c r="I1086" i="1"/>
  <c r="I1087" i="1"/>
  <c r="I1088" i="1"/>
  <c r="I1089" i="1"/>
  <c r="I1090" i="1"/>
  <c r="I1091" i="1"/>
  <c r="I1092" i="1"/>
  <c r="I1093" i="1"/>
  <c r="I1094" i="1"/>
  <c r="I1095" i="1"/>
  <c r="I1096" i="1"/>
  <c r="I1097" i="1"/>
  <c r="I1098" i="1"/>
  <c r="I1099" i="1"/>
  <c r="I1100" i="1"/>
  <c r="I1101" i="1"/>
  <c r="I1102" i="1"/>
  <c r="I1103" i="1"/>
  <c r="I1104" i="1"/>
  <c r="I1105" i="1"/>
  <c r="I1106" i="1"/>
  <c r="I1107" i="1"/>
  <c r="I1108" i="1"/>
  <c r="I1109" i="1"/>
  <c r="I1110" i="1"/>
  <c r="I1111" i="1"/>
  <c r="I1112" i="1"/>
  <c r="I1113" i="1"/>
  <c r="I1114" i="1"/>
  <c r="I1115" i="1"/>
  <c r="I1116" i="1"/>
  <c r="I1117" i="1"/>
  <c r="I1118" i="1"/>
  <c r="I1119" i="1"/>
  <c r="I1120" i="1"/>
  <c r="I1121" i="1"/>
  <c r="I1122" i="1"/>
  <c r="I1123" i="1"/>
  <c r="I1124" i="1"/>
  <c r="I1125" i="1"/>
  <c r="I1126" i="1"/>
  <c r="I1127" i="1"/>
  <c r="I1128" i="1"/>
  <c r="I1129" i="1"/>
  <c r="I1130" i="1"/>
  <c r="I1131" i="1"/>
  <c r="I1132" i="1"/>
  <c r="I1133" i="1"/>
  <c r="I1134" i="1"/>
  <c r="I1135" i="1"/>
  <c r="I1136" i="1"/>
  <c r="I1137" i="1"/>
  <c r="I1138" i="1"/>
  <c r="I1139" i="1"/>
  <c r="I1140" i="1"/>
  <c r="I1141" i="1"/>
  <c r="I1142" i="1"/>
  <c r="I1143" i="1"/>
  <c r="I1144" i="1"/>
  <c r="I1145" i="1"/>
  <c r="I1146" i="1"/>
  <c r="I1147" i="1"/>
  <c r="I1148" i="1"/>
  <c r="I1149" i="1"/>
  <c r="I1150" i="1"/>
  <c r="I1151" i="1"/>
  <c r="I1152" i="1"/>
  <c r="I1153" i="1"/>
  <c r="I1154" i="1"/>
  <c r="I1155" i="1"/>
  <c r="I1156" i="1"/>
  <c r="I1157" i="1"/>
  <c r="I1158" i="1"/>
  <c r="I1159" i="1"/>
  <c r="I1160" i="1"/>
  <c r="I1161" i="1"/>
  <c r="I1162" i="1"/>
  <c r="I1163" i="1"/>
  <c r="I1164" i="1"/>
  <c r="I1165" i="1"/>
  <c r="I1166" i="1"/>
  <c r="I1167" i="1"/>
  <c r="I1168" i="1"/>
  <c r="I1169" i="1"/>
  <c r="I1170" i="1"/>
  <c r="I1171" i="1"/>
  <c r="I1172" i="1"/>
  <c r="I1173" i="1"/>
  <c r="I1174" i="1"/>
  <c r="I1175" i="1"/>
  <c r="I1176" i="1"/>
  <c r="I1177" i="1"/>
  <c r="I1178" i="1"/>
  <c r="I1179" i="1"/>
  <c r="I1180" i="1"/>
  <c r="I1181" i="1"/>
  <c r="I1182" i="1"/>
  <c r="I1183" i="1"/>
  <c r="I1184" i="1"/>
  <c r="I1185" i="1"/>
  <c r="I1186" i="1"/>
  <c r="I1187" i="1"/>
  <c r="I1188" i="1"/>
  <c r="I1189" i="1"/>
  <c r="I1190" i="1"/>
  <c r="I1191" i="1"/>
  <c r="I1192" i="1"/>
  <c r="I1193" i="1"/>
  <c r="I1194" i="1"/>
  <c r="I1195" i="1"/>
  <c r="I1196" i="1"/>
  <c r="I1197" i="1"/>
  <c r="I1198" i="1"/>
  <c r="I1199" i="1"/>
  <c r="I1200" i="1"/>
  <c r="I1201" i="1"/>
  <c r="I1202" i="1"/>
  <c r="I1203" i="1"/>
  <c r="I1204" i="1"/>
  <c r="I1205" i="1"/>
  <c r="I1206" i="1"/>
  <c r="I1207" i="1"/>
  <c r="I1208" i="1"/>
  <c r="I1209" i="1"/>
  <c r="I1210" i="1"/>
  <c r="I1211" i="1"/>
  <c r="I1212" i="1"/>
  <c r="I1213" i="1"/>
  <c r="I1214" i="1"/>
  <c r="I1215" i="1"/>
  <c r="I1216" i="1"/>
  <c r="I1217" i="1"/>
  <c r="I1218" i="1"/>
  <c r="I1219" i="1"/>
  <c r="I1220" i="1"/>
  <c r="I1221" i="1"/>
  <c r="I1222" i="1"/>
  <c r="I1223" i="1"/>
  <c r="I1224" i="1"/>
  <c r="I1225" i="1"/>
  <c r="I1226" i="1"/>
  <c r="I1227" i="1"/>
  <c r="I1228" i="1"/>
  <c r="I1229" i="1"/>
  <c r="I1230" i="1"/>
  <c r="I1231" i="1"/>
  <c r="I1232" i="1"/>
  <c r="I1233" i="1"/>
  <c r="I1234" i="1"/>
  <c r="I1235" i="1"/>
  <c r="I1236" i="1"/>
  <c r="I1237" i="1"/>
  <c r="I1238" i="1"/>
  <c r="I1239" i="1"/>
  <c r="I1240" i="1"/>
  <c r="I1241" i="1"/>
  <c r="I1242" i="1"/>
  <c r="I1243" i="1"/>
  <c r="I1244" i="1"/>
  <c r="I1245" i="1"/>
  <c r="I1246" i="1"/>
  <c r="I1247" i="1"/>
  <c r="I1248" i="1"/>
  <c r="I1249" i="1"/>
  <c r="I1250" i="1"/>
  <c r="I1251" i="1"/>
  <c r="I1252" i="1"/>
  <c r="I1253" i="1"/>
  <c r="I1254" i="1"/>
  <c r="I1255" i="1"/>
  <c r="I1256" i="1"/>
  <c r="I1257" i="1"/>
  <c r="I1258" i="1"/>
  <c r="I1259" i="1"/>
  <c r="I1260" i="1"/>
  <c r="I1261" i="1"/>
  <c r="I1262" i="1"/>
  <c r="I1263" i="1"/>
  <c r="I1264" i="1"/>
  <c r="I1265" i="1"/>
  <c r="I1266" i="1"/>
  <c r="I1267" i="1"/>
  <c r="I1268" i="1"/>
  <c r="I1269" i="1"/>
  <c r="I1270" i="1"/>
  <c r="I1271" i="1"/>
  <c r="I1272" i="1"/>
  <c r="I1273" i="1"/>
  <c r="I1274" i="1"/>
  <c r="I1275" i="1"/>
  <c r="I1276" i="1"/>
  <c r="I1277" i="1"/>
  <c r="I1278" i="1"/>
  <c r="I1279" i="1"/>
  <c r="I1280" i="1"/>
  <c r="I1281" i="1"/>
  <c r="I1282" i="1"/>
  <c r="I1283" i="1"/>
  <c r="I1284" i="1"/>
  <c r="I1285" i="1"/>
  <c r="I1286" i="1"/>
  <c r="I1287" i="1"/>
  <c r="I1288" i="1"/>
  <c r="I1289" i="1"/>
  <c r="I1290" i="1"/>
  <c r="I1291" i="1"/>
  <c r="I1292" i="1"/>
  <c r="I1293" i="1"/>
  <c r="I1294" i="1"/>
  <c r="I1295" i="1"/>
  <c r="I1296" i="1"/>
  <c r="I1297" i="1"/>
  <c r="I1298" i="1"/>
  <c r="I1299" i="1"/>
  <c r="I1300" i="1"/>
  <c r="I1301" i="1"/>
  <c r="I1302" i="1"/>
  <c r="I1303" i="1"/>
  <c r="I1304" i="1"/>
  <c r="I1305" i="1"/>
  <c r="I1306" i="1"/>
  <c r="I1307" i="1"/>
  <c r="I1308" i="1"/>
  <c r="I1309" i="1"/>
  <c r="I1310" i="1"/>
  <c r="I1311" i="1"/>
  <c r="I1312" i="1"/>
  <c r="I1313" i="1"/>
  <c r="I1314" i="1"/>
  <c r="I1315" i="1"/>
  <c r="I1316" i="1"/>
  <c r="I1317" i="1"/>
  <c r="I1318" i="1"/>
  <c r="I1319" i="1"/>
  <c r="I1320" i="1"/>
  <c r="I1321" i="1"/>
  <c r="I1322" i="1"/>
  <c r="I1323" i="1"/>
  <c r="I1324" i="1"/>
  <c r="I1325" i="1"/>
  <c r="I1326" i="1"/>
  <c r="I1327" i="1"/>
  <c r="I1328" i="1"/>
  <c r="I1329" i="1"/>
  <c r="I1330" i="1"/>
  <c r="I1331" i="1"/>
  <c r="I1332" i="1"/>
  <c r="I1333" i="1"/>
  <c r="I1334" i="1"/>
  <c r="I1335" i="1"/>
  <c r="I1336" i="1"/>
  <c r="I1337" i="1"/>
  <c r="I1338" i="1"/>
  <c r="I1339" i="1"/>
  <c r="I1340" i="1"/>
  <c r="I1341" i="1"/>
  <c r="I1342" i="1"/>
  <c r="I1343" i="1"/>
  <c r="I1344" i="1"/>
  <c r="I1345" i="1"/>
  <c r="I1346" i="1"/>
  <c r="I1347" i="1"/>
  <c r="I1348" i="1"/>
  <c r="I1349" i="1"/>
  <c r="I1350" i="1"/>
  <c r="I1351" i="1"/>
  <c r="I1352" i="1"/>
  <c r="I1353" i="1"/>
  <c r="I1354" i="1"/>
  <c r="I1355" i="1"/>
  <c r="I1356" i="1"/>
  <c r="I1357" i="1"/>
  <c r="I1358" i="1"/>
  <c r="I1359" i="1"/>
  <c r="I1360" i="1"/>
  <c r="I1361" i="1"/>
  <c r="I1362" i="1"/>
  <c r="I1363" i="1"/>
  <c r="I1364" i="1"/>
  <c r="I1365" i="1"/>
  <c r="I1366" i="1"/>
  <c r="I1367" i="1"/>
  <c r="I1368" i="1"/>
  <c r="I1369" i="1"/>
  <c r="I1370" i="1"/>
  <c r="I1371" i="1"/>
  <c r="I1372" i="1"/>
  <c r="I1373" i="1"/>
  <c r="I1374" i="1"/>
  <c r="I1375" i="1"/>
  <c r="I1376" i="1"/>
  <c r="I1377" i="1"/>
  <c r="I1378" i="1"/>
  <c r="I1379" i="1"/>
  <c r="I1380" i="1"/>
  <c r="I1381" i="1"/>
  <c r="I1382" i="1"/>
  <c r="I1383" i="1"/>
  <c r="I1384" i="1"/>
  <c r="I1385" i="1"/>
  <c r="I1386" i="1"/>
  <c r="I1387" i="1"/>
  <c r="I1388" i="1"/>
  <c r="I1389" i="1"/>
  <c r="I1390" i="1"/>
  <c r="I1391" i="1"/>
  <c r="I1392" i="1"/>
  <c r="I1393" i="1"/>
  <c r="I1394" i="1"/>
  <c r="I1395" i="1"/>
  <c r="I1396" i="1"/>
  <c r="I1397" i="1"/>
  <c r="I1398" i="1"/>
  <c r="I1399" i="1"/>
  <c r="I1400" i="1"/>
  <c r="I1401" i="1"/>
  <c r="I1402" i="1"/>
  <c r="I1403" i="1"/>
  <c r="I1404" i="1"/>
  <c r="I1405" i="1"/>
  <c r="I1406" i="1"/>
  <c r="I1407" i="1"/>
  <c r="I1408" i="1"/>
  <c r="I1409" i="1"/>
  <c r="I1410" i="1"/>
  <c r="I1411" i="1"/>
  <c r="I1412" i="1"/>
  <c r="I1413" i="1"/>
  <c r="I1414" i="1"/>
  <c r="I1415" i="1"/>
  <c r="I1416" i="1"/>
  <c r="I1417" i="1"/>
  <c r="I1418" i="1"/>
  <c r="I1419" i="1"/>
  <c r="I1420" i="1"/>
  <c r="I1421" i="1"/>
  <c r="I1422" i="1"/>
  <c r="I1423" i="1"/>
  <c r="I1424" i="1"/>
  <c r="I1425" i="1"/>
  <c r="I1426" i="1"/>
  <c r="I1427" i="1"/>
  <c r="I1428" i="1"/>
  <c r="I1429" i="1"/>
  <c r="I1430" i="1"/>
  <c r="I1431" i="1"/>
  <c r="I1432" i="1"/>
  <c r="I1433" i="1"/>
  <c r="I1434" i="1"/>
  <c r="I1435" i="1"/>
  <c r="I1436" i="1"/>
  <c r="I1437" i="1"/>
  <c r="I1438" i="1"/>
  <c r="I1439" i="1"/>
  <c r="I1440" i="1"/>
  <c r="I1441" i="1"/>
  <c r="I1442" i="1"/>
  <c r="I1443" i="1"/>
  <c r="I1444" i="1"/>
  <c r="I1445" i="1"/>
  <c r="I1446" i="1"/>
  <c r="I1447" i="1"/>
  <c r="I1448" i="1"/>
  <c r="I1449" i="1"/>
  <c r="I1450" i="1"/>
  <c r="I1451" i="1"/>
  <c r="I1452" i="1"/>
  <c r="I1453" i="1"/>
  <c r="I1454" i="1"/>
  <c r="I1455" i="1"/>
  <c r="I1456" i="1"/>
  <c r="I1457" i="1"/>
  <c r="I1458" i="1"/>
  <c r="I1459" i="1"/>
  <c r="I1460" i="1"/>
  <c r="I1461" i="1"/>
  <c r="I1462" i="1"/>
  <c r="I1463" i="1"/>
  <c r="I1464" i="1"/>
  <c r="I1465" i="1"/>
  <c r="I1466" i="1"/>
  <c r="I1467" i="1"/>
  <c r="I1468" i="1"/>
  <c r="I1469" i="1"/>
  <c r="I1470" i="1"/>
  <c r="I1471" i="1"/>
  <c r="I1472" i="1"/>
  <c r="I1473" i="1"/>
  <c r="I1474" i="1"/>
  <c r="I1475" i="1"/>
  <c r="I1476" i="1"/>
  <c r="I1477" i="1"/>
  <c r="I1478" i="1"/>
  <c r="I1479" i="1"/>
  <c r="I1480" i="1"/>
  <c r="I1481" i="1"/>
  <c r="I1482" i="1"/>
  <c r="I1483" i="1"/>
  <c r="I1484" i="1"/>
  <c r="I1485" i="1"/>
  <c r="I1486" i="1"/>
  <c r="I1487" i="1"/>
  <c r="I1488" i="1"/>
  <c r="I1489" i="1"/>
  <c r="I1490" i="1"/>
  <c r="I1491" i="1"/>
  <c r="I1492" i="1"/>
  <c r="I1493" i="1"/>
  <c r="I1494" i="1"/>
  <c r="I1495" i="1"/>
  <c r="I1496" i="1"/>
  <c r="I1497" i="1"/>
  <c r="I1498" i="1"/>
  <c r="I1499" i="1"/>
  <c r="I1500" i="1"/>
  <c r="I1501" i="1"/>
  <c r="I1502" i="1"/>
  <c r="I1503" i="1"/>
  <c r="I1504" i="1"/>
  <c r="I1505" i="1"/>
  <c r="I1506" i="1"/>
  <c r="I1507" i="1"/>
  <c r="I1508" i="1"/>
  <c r="I1509" i="1"/>
  <c r="I1510" i="1"/>
  <c r="I1511" i="1"/>
  <c r="I1512" i="1"/>
  <c r="I1513" i="1"/>
  <c r="I1514" i="1"/>
  <c r="I1515" i="1"/>
  <c r="I1516" i="1"/>
  <c r="I1517" i="1"/>
  <c r="I1518" i="1"/>
  <c r="I1519" i="1"/>
  <c r="I1520" i="1"/>
  <c r="I1521" i="1"/>
  <c r="I1522" i="1"/>
  <c r="I1523" i="1"/>
  <c r="I1524" i="1"/>
  <c r="I1525" i="1"/>
  <c r="I1526" i="1"/>
  <c r="I1527" i="1"/>
  <c r="I1528" i="1"/>
  <c r="I1529" i="1"/>
  <c r="I1530" i="1"/>
  <c r="I1531" i="1"/>
  <c r="I1532" i="1"/>
  <c r="I1533" i="1"/>
  <c r="I1534" i="1"/>
  <c r="I1535" i="1"/>
  <c r="I1536" i="1"/>
  <c r="I1537" i="1"/>
  <c r="I1538" i="1"/>
  <c r="I1539" i="1"/>
  <c r="I1540" i="1"/>
  <c r="I1541" i="1"/>
  <c r="I1542" i="1"/>
  <c r="I1543" i="1"/>
  <c r="I1544" i="1"/>
  <c r="I1545" i="1"/>
  <c r="I1546" i="1"/>
  <c r="I1547" i="1"/>
  <c r="I1548" i="1"/>
  <c r="I1549" i="1"/>
  <c r="I1550" i="1"/>
  <c r="I1551" i="1"/>
  <c r="I1552" i="1"/>
  <c r="I1553" i="1"/>
  <c r="I1554" i="1"/>
  <c r="I1555" i="1"/>
  <c r="I1556" i="1"/>
  <c r="I1557" i="1"/>
  <c r="I1558" i="1"/>
  <c r="I1559" i="1"/>
  <c r="I1560" i="1"/>
  <c r="I1561" i="1"/>
  <c r="I1562" i="1"/>
  <c r="I1563" i="1"/>
  <c r="I1564" i="1"/>
  <c r="I1565" i="1"/>
  <c r="I1566" i="1"/>
  <c r="I1567" i="1"/>
  <c r="I1568" i="1"/>
  <c r="I1569" i="1"/>
  <c r="I1570" i="1"/>
  <c r="I1571" i="1"/>
  <c r="I1572" i="1"/>
  <c r="I1573" i="1"/>
  <c r="I1574" i="1"/>
  <c r="I1575" i="1"/>
  <c r="I1576" i="1"/>
  <c r="I1577" i="1"/>
  <c r="I1578" i="1"/>
  <c r="I1579" i="1"/>
  <c r="I1580" i="1"/>
  <c r="I1581" i="1"/>
  <c r="I1582" i="1"/>
  <c r="I1583" i="1"/>
  <c r="I1584" i="1"/>
  <c r="I1585" i="1"/>
  <c r="I1586" i="1"/>
  <c r="I1587" i="1"/>
  <c r="I1588" i="1"/>
  <c r="I1589" i="1"/>
  <c r="I1590" i="1"/>
  <c r="I1591" i="1"/>
  <c r="I1592" i="1"/>
  <c r="I1593" i="1"/>
  <c r="I1594" i="1"/>
  <c r="I1595" i="1"/>
  <c r="I1596" i="1"/>
  <c r="I1597" i="1"/>
  <c r="I1598" i="1"/>
  <c r="I1599" i="1"/>
  <c r="I1600" i="1"/>
  <c r="I1601" i="1"/>
  <c r="I1602" i="1"/>
  <c r="I1603" i="1"/>
  <c r="I1604" i="1"/>
  <c r="I1605" i="1"/>
  <c r="I1606" i="1"/>
  <c r="I1607" i="1"/>
  <c r="I1608" i="1"/>
  <c r="I1609" i="1"/>
  <c r="I1610" i="1"/>
  <c r="I1611" i="1"/>
  <c r="I1612" i="1"/>
  <c r="I1613" i="1"/>
  <c r="I1614" i="1"/>
  <c r="I1615" i="1"/>
  <c r="I1616" i="1"/>
  <c r="I1617" i="1"/>
  <c r="I1618" i="1"/>
  <c r="I1619" i="1"/>
  <c r="I1620" i="1"/>
  <c r="I1621" i="1"/>
  <c r="I1622" i="1"/>
  <c r="I1623" i="1"/>
  <c r="I1624" i="1"/>
  <c r="I1625" i="1"/>
  <c r="I1626" i="1"/>
  <c r="I1627" i="1"/>
  <c r="I1628" i="1"/>
  <c r="I1629" i="1"/>
  <c r="I1630" i="1"/>
  <c r="I1631" i="1"/>
  <c r="I1632" i="1"/>
  <c r="I1633" i="1"/>
  <c r="I1634" i="1"/>
  <c r="I1635" i="1"/>
  <c r="I1636" i="1"/>
  <c r="I1637" i="1"/>
  <c r="I1638" i="1"/>
  <c r="I1639" i="1"/>
  <c r="I1640" i="1"/>
  <c r="I1641" i="1"/>
  <c r="I1642" i="1"/>
  <c r="I1643" i="1"/>
  <c r="I1644" i="1"/>
  <c r="I1645" i="1"/>
  <c r="I1646" i="1"/>
  <c r="I1647" i="1"/>
  <c r="I1648" i="1"/>
  <c r="I1649" i="1"/>
  <c r="I1650" i="1"/>
  <c r="I1651" i="1"/>
  <c r="I1652" i="1"/>
  <c r="I1653" i="1"/>
  <c r="I1654" i="1"/>
  <c r="I1655" i="1"/>
  <c r="I1656" i="1"/>
  <c r="I1657" i="1"/>
  <c r="I1658" i="1"/>
  <c r="I1659" i="1"/>
  <c r="I1660" i="1"/>
  <c r="I1661" i="1"/>
  <c r="I1662" i="1"/>
  <c r="I1663" i="1"/>
  <c r="I1664" i="1"/>
  <c r="I1665" i="1"/>
  <c r="I1666" i="1"/>
  <c r="I1667" i="1"/>
  <c r="I1668" i="1"/>
  <c r="I1669" i="1"/>
  <c r="I1670" i="1"/>
  <c r="I1671" i="1"/>
  <c r="I1672" i="1"/>
  <c r="I1673" i="1"/>
  <c r="I1674" i="1"/>
  <c r="I1675" i="1"/>
  <c r="I1676" i="1"/>
  <c r="I1677" i="1"/>
  <c r="I1678" i="1"/>
  <c r="I1679" i="1"/>
  <c r="I1680" i="1"/>
  <c r="I1681" i="1"/>
  <c r="I1682" i="1"/>
  <c r="I1683" i="1"/>
  <c r="I1684" i="1"/>
  <c r="I1685" i="1"/>
  <c r="I1686" i="1"/>
  <c r="I1687" i="1"/>
  <c r="I1688" i="1"/>
  <c r="I1689" i="1"/>
  <c r="I1690" i="1"/>
  <c r="I1691" i="1"/>
  <c r="I1692" i="1"/>
  <c r="I1693" i="1"/>
  <c r="I1694" i="1"/>
  <c r="I1695" i="1"/>
  <c r="I1696" i="1"/>
  <c r="I1697" i="1"/>
  <c r="I1698" i="1"/>
  <c r="I1699" i="1"/>
  <c r="I1700" i="1"/>
  <c r="I1701" i="1"/>
  <c r="I1702" i="1"/>
  <c r="I1703" i="1"/>
  <c r="I1704" i="1"/>
  <c r="I1705" i="1"/>
  <c r="I1706" i="1"/>
  <c r="I1707" i="1"/>
  <c r="I1708" i="1"/>
  <c r="I1709" i="1"/>
  <c r="I1710" i="1"/>
  <c r="I1711" i="1"/>
  <c r="I1712" i="1"/>
  <c r="I1713" i="1"/>
  <c r="I1714" i="1"/>
  <c r="I1715" i="1"/>
  <c r="I1716" i="1"/>
  <c r="I1717" i="1"/>
  <c r="I1718" i="1"/>
  <c r="I1719" i="1"/>
  <c r="I1720" i="1"/>
  <c r="I1721" i="1"/>
  <c r="I1722" i="1"/>
  <c r="I1723" i="1"/>
  <c r="I1724" i="1"/>
  <c r="I1725" i="1"/>
  <c r="I1726" i="1"/>
  <c r="I1727" i="1"/>
  <c r="I1728" i="1"/>
  <c r="I1729" i="1"/>
  <c r="I1730" i="1"/>
  <c r="I1731" i="1"/>
  <c r="I1732" i="1"/>
  <c r="I1733" i="1"/>
  <c r="I1734" i="1"/>
  <c r="I1735" i="1"/>
  <c r="I1736" i="1"/>
  <c r="I1737" i="1"/>
  <c r="I1738" i="1"/>
  <c r="I1739" i="1"/>
  <c r="I1740" i="1"/>
  <c r="I1741" i="1"/>
  <c r="I1742" i="1"/>
  <c r="I1743" i="1"/>
  <c r="I1744" i="1"/>
  <c r="I1745" i="1"/>
  <c r="I1746" i="1"/>
  <c r="I1747" i="1"/>
  <c r="I1748" i="1"/>
  <c r="I1749" i="1"/>
  <c r="I1750" i="1"/>
  <c r="I1751" i="1"/>
  <c r="I1752" i="1"/>
  <c r="I1753" i="1"/>
  <c r="I1754" i="1"/>
  <c r="I1755" i="1"/>
  <c r="I1756" i="1"/>
  <c r="I1757" i="1"/>
  <c r="I1758" i="1"/>
  <c r="I1759" i="1"/>
  <c r="I1760" i="1"/>
  <c r="I1761" i="1"/>
  <c r="I1762" i="1"/>
  <c r="I1763" i="1"/>
  <c r="I1764" i="1"/>
  <c r="I1765" i="1"/>
  <c r="I1766" i="1"/>
  <c r="I1767" i="1"/>
  <c r="I1768" i="1"/>
  <c r="I1769" i="1"/>
  <c r="I1770" i="1"/>
  <c r="I1771" i="1"/>
  <c r="I1772" i="1"/>
  <c r="I1773" i="1"/>
  <c r="I1774" i="1"/>
  <c r="I1775" i="1"/>
  <c r="I1776" i="1"/>
  <c r="I1777" i="1"/>
  <c r="I1778" i="1"/>
  <c r="I1779" i="1"/>
  <c r="I1780" i="1"/>
  <c r="I1781" i="1"/>
  <c r="I1782" i="1"/>
  <c r="I1783" i="1"/>
  <c r="I1784" i="1"/>
  <c r="I1785" i="1"/>
  <c r="I1786" i="1"/>
  <c r="I1787" i="1"/>
  <c r="I1788" i="1"/>
  <c r="I1789" i="1"/>
  <c r="I1790" i="1"/>
  <c r="I1791" i="1"/>
  <c r="I1792" i="1"/>
  <c r="I1793" i="1"/>
  <c r="I1794" i="1"/>
  <c r="I1795" i="1"/>
  <c r="I1796" i="1"/>
  <c r="I1797" i="1"/>
  <c r="I1798" i="1"/>
  <c r="I1799" i="1"/>
  <c r="I1800" i="1"/>
  <c r="I1801" i="1"/>
  <c r="I1802" i="1"/>
  <c r="I1803" i="1"/>
  <c r="I1804" i="1"/>
  <c r="I1805" i="1"/>
  <c r="I1806" i="1"/>
  <c r="I1807" i="1"/>
  <c r="I1808" i="1"/>
  <c r="I1809" i="1"/>
  <c r="I1810" i="1"/>
  <c r="I1811" i="1"/>
  <c r="I1812" i="1"/>
  <c r="I1813" i="1"/>
  <c r="I1814" i="1"/>
  <c r="I1815" i="1"/>
  <c r="I1816" i="1"/>
  <c r="I1817" i="1"/>
  <c r="I1818" i="1"/>
  <c r="I1819" i="1"/>
  <c r="I1820" i="1"/>
  <c r="I1821" i="1"/>
  <c r="I1822" i="1"/>
  <c r="I1823" i="1"/>
  <c r="I1824" i="1"/>
  <c r="I1825" i="1"/>
  <c r="I1826" i="1"/>
  <c r="I1827" i="1"/>
  <c r="I1828" i="1"/>
  <c r="I1829" i="1"/>
  <c r="I1830" i="1"/>
  <c r="I1831" i="1"/>
  <c r="I1832" i="1"/>
  <c r="I1833" i="1"/>
  <c r="I1834" i="1"/>
  <c r="I1835" i="1"/>
  <c r="I1836" i="1"/>
  <c r="I1837" i="1"/>
  <c r="I1838" i="1"/>
  <c r="I1839" i="1"/>
  <c r="I1840" i="1"/>
  <c r="I1841" i="1"/>
  <c r="I1842" i="1"/>
  <c r="I1843" i="1"/>
  <c r="I1844" i="1"/>
  <c r="I1845" i="1"/>
  <c r="I1846" i="1"/>
  <c r="I1847" i="1"/>
  <c r="I1848" i="1"/>
  <c r="I1849" i="1"/>
  <c r="I1850" i="1"/>
  <c r="I1851" i="1"/>
  <c r="I1852" i="1"/>
  <c r="I1853" i="1"/>
  <c r="I1854" i="1"/>
  <c r="I1855" i="1"/>
  <c r="I1856" i="1"/>
  <c r="I1857" i="1"/>
  <c r="I1858" i="1"/>
  <c r="I1859" i="1"/>
  <c r="I1860" i="1"/>
  <c r="I1861" i="1"/>
  <c r="I1862" i="1"/>
  <c r="I1863" i="1"/>
  <c r="I1864" i="1"/>
  <c r="I1865" i="1"/>
  <c r="I1866" i="1"/>
  <c r="I1867" i="1"/>
  <c r="I1868" i="1"/>
  <c r="I1869" i="1"/>
  <c r="I1870" i="1"/>
  <c r="I1871" i="1"/>
  <c r="I1872" i="1"/>
  <c r="I1873" i="1"/>
  <c r="I1874" i="1"/>
  <c r="I1875" i="1"/>
  <c r="I1876" i="1"/>
  <c r="I1877" i="1"/>
  <c r="I1878" i="1"/>
  <c r="I1879" i="1"/>
  <c r="I1880" i="1"/>
  <c r="I1881" i="1"/>
  <c r="I1882" i="1"/>
  <c r="I1883" i="1"/>
  <c r="I1884" i="1"/>
  <c r="I1885" i="1"/>
  <c r="I1886" i="1"/>
  <c r="I1887" i="1"/>
  <c r="I1888" i="1"/>
  <c r="I1889" i="1"/>
  <c r="I1890" i="1"/>
  <c r="I1891" i="1"/>
  <c r="I1892" i="1"/>
  <c r="I1893" i="1"/>
  <c r="I1894" i="1"/>
  <c r="I1895" i="1"/>
  <c r="I1896" i="1"/>
  <c r="I1897" i="1"/>
  <c r="I1898" i="1"/>
  <c r="I1899" i="1"/>
  <c r="I1900" i="1"/>
  <c r="I1901" i="1"/>
  <c r="I1902" i="1"/>
  <c r="I1903" i="1"/>
  <c r="I1904" i="1"/>
  <c r="I1905" i="1"/>
  <c r="I1906" i="1"/>
  <c r="I1907" i="1"/>
  <c r="I1908" i="1"/>
  <c r="I1909" i="1"/>
  <c r="I1910" i="1"/>
  <c r="I1911" i="1"/>
  <c r="I1912" i="1"/>
  <c r="I1913" i="1"/>
  <c r="I1914" i="1"/>
  <c r="I1915" i="1"/>
  <c r="I1916" i="1"/>
  <c r="I1917" i="1"/>
  <c r="I1918" i="1"/>
  <c r="I1919" i="1"/>
  <c r="I1920" i="1"/>
  <c r="I1921" i="1"/>
  <c r="I1922" i="1"/>
  <c r="I1923" i="1"/>
  <c r="I1924" i="1"/>
  <c r="I1925" i="1"/>
  <c r="I1926" i="1"/>
  <c r="I1927" i="1"/>
  <c r="I1928" i="1"/>
  <c r="I1929" i="1"/>
  <c r="I1930" i="1"/>
  <c r="I1931" i="1"/>
  <c r="I1932" i="1"/>
  <c r="I1933" i="1"/>
  <c r="I1934" i="1"/>
  <c r="I1935" i="1"/>
  <c r="I1936" i="1"/>
  <c r="I1937" i="1"/>
  <c r="I1938" i="1"/>
  <c r="I1939" i="1"/>
  <c r="I1940" i="1"/>
  <c r="I1941" i="1"/>
  <c r="I1942" i="1"/>
  <c r="I1943" i="1"/>
  <c r="I1944" i="1"/>
  <c r="I1945" i="1"/>
  <c r="I1946" i="1"/>
  <c r="I1947" i="1"/>
  <c r="I1948" i="1"/>
  <c r="I1949" i="1"/>
  <c r="I1950" i="1"/>
  <c r="I1951" i="1"/>
  <c r="I1952" i="1"/>
  <c r="I1953" i="1"/>
  <c r="I1954" i="1"/>
  <c r="I1955" i="1"/>
  <c r="I1956" i="1"/>
  <c r="I1957" i="1"/>
  <c r="I1958" i="1"/>
  <c r="I1959" i="1"/>
  <c r="I1960" i="1"/>
  <c r="I1961" i="1"/>
  <c r="I1962" i="1"/>
  <c r="I1963" i="1"/>
  <c r="I1964" i="1"/>
  <c r="I1965" i="1"/>
  <c r="I1966" i="1"/>
  <c r="I1967" i="1"/>
  <c r="I1968" i="1"/>
  <c r="I1969" i="1"/>
  <c r="I1970" i="1"/>
  <c r="I1971" i="1"/>
  <c r="I1972" i="1"/>
  <c r="I1973" i="1"/>
  <c r="I1974" i="1"/>
  <c r="I1975" i="1"/>
  <c r="I1976" i="1"/>
  <c r="I1977" i="1"/>
  <c r="I1978" i="1"/>
  <c r="I1979" i="1"/>
  <c r="I1980" i="1"/>
  <c r="I1981" i="1"/>
  <c r="I1982" i="1"/>
  <c r="I1983" i="1"/>
  <c r="I1984" i="1"/>
  <c r="I1985" i="1"/>
  <c r="I1986" i="1"/>
  <c r="I1987" i="1"/>
  <c r="I1988" i="1"/>
  <c r="I1989" i="1"/>
  <c r="I1990" i="1"/>
  <c r="I1991" i="1"/>
  <c r="I1992" i="1"/>
  <c r="I1993" i="1"/>
  <c r="I1994" i="1"/>
  <c r="I1995" i="1"/>
  <c r="I1996" i="1"/>
  <c r="I1997" i="1"/>
  <c r="I1998" i="1"/>
  <c r="I1999" i="1"/>
  <c r="I2000" i="1"/>
  <c r="I2001" i="1"/>
</calcChain>
</file>

<file path=xl/sharedStrings.xml><?xml version="1.0" encoding="utf-8"?>
<sst xmlns="http://schemas.openxmlformats.org/spreadsheetml/2006/main" count="8053" uniqueCount="712">
  <si>
    <t>Date</t>
  </si>
  <si>
    <t>Sales Person</t>
  </si>
  <si>
    <t>Region</t>
  </si>
  <si>
    <t>Product</t>
  </si>
  <si>
    <t>Units Sold</t>
  </si>
  <si>
    <t>Unit Price</t>
  </si>
  <si>
    <t>Cost of Goods</t>
  </si>
  <si>
    <t>Total Sales</t>
  </si>
  <si>
    <t>18-03-2021</t>
  </si>
  <si>
    <t>Grace</t>
  </si>
  <si>
    <t>South</t>
  </si>
  <si>
    <t>Blender</t>
  </si>
  <si>
    <t>02-08-2021</t>
  </si>
  <si>
    <t>Connor</t>
  </si>
  <si>
    <t>North</t>
  </si>
  <si>
    <t>Sneakers</t>
  </si>
  <si>
    <t>21-12-2020</t>
  </si>
  <si>
    <t>West</t>
  </si>
  <si>
    <t>Tent</t>
  </si>
  <si>
    <t>04-04-2020</t>
  </si>
  <si>
    <t>Anna</t>
  </si>
  <si>
    <t>Moisturizer</t>
  </si>
  <si>
    <t>25-06-2021</t>
  </si>
  <si>
    <t>Cameron</t>
  </si>
  <si>
    <t>Action Figure</t>
  </si>
  <si>
    <t>15-10-2020</t>
  </si>
  <si>
    <t>East</t>
  </si>
  <si>
    <t>11-07-2021</t>
  </si>
  <si>
    <t>Carolyn</t>
  </si>
  <si>
    <t>08-03-2020</t>
  </si>
  <si>
    <t>Ella</t>
  </si>
  <si>
    <t>Novel</t>
  </si>
  <si>
    <t>08-07-2021</t>
  </si>
  <si>
    <t>14-02-2020</t>
  </si>
  <si>
    <t>Smartphone</t>
  </si>
  <si>
    <t>03-03-2021</t>
  </si>
  <si>
    <t>Megan</t>
  </si>
  <si>
    <t>10-10-2021</t>
  </si>
  <si>
    <t>16-11-2021</t>
  </si>
  <si>
    <t>02-09-2021</t>
  </si>
  <si>
    <t>Nicholas</t>
  </si>
  <si>
    <t>28-03-2020</t>
  </si>
  <si>
    <t>05-11-2020</t>
  </si>
  <si>
    <t>Virginia</t>
  </si>
  <si>
    <t>08-06-2020</t>
  </si>
  <si>
    <t>24-12-2020</t>
  </si>
  <si>
    <t>13-11-2021</t>
  </si>
  <si>
    <t>22-08-2020</t>
  </si>
  <si>
    <t>25-08-2020</t>
  </si>
  <si>
    <t>26-09-2020</t>
  </si>
  <si>
    <t>20-08-2020</t>
  </si>
  <si>
    <t>20-07-2020</t>
  </si>
  <si>
    <t>09-05-2020</t>
  </si>
  <si>
    <t>13-05-2021</t>
  </si>
  <si>
    <t>16-07-2020</t>
  </si>
  <si>
    <t>03-05-2020</t>
  </si>
  <si>
    <t>18-02-2021</t>
  </si>
  <si>
    <t>12-08-2021</t>
  </si>
  <si>
    <t>Andrew</t>
  </si>
  <si>
    <t>09-03-2021</t>
  </si>
  <si>
    <t>07-07-2020</t>
  </si>
  <si>
    <t>18-11-2020</t>
  </si>
  <si>
    <t>05-09-2021</t>
  </si>
  <si>
    <t>23-10-2021</t>
  </si>
  <si>
    <t>08-06-2021</t>
  </si>
  <si>
    <t>26-01-2020</t>
  </si>
  <si>
    <t>29-05-2021</t>
  </si>
  <si>
    <t>19-12-2020</t>
  </si>
  <si>
    <t>11-12-2020</t>
  </si>
  <si>
    <t>27-06-2021</t>
  </si>
  <si>
    <t>09-07-2021</t>
  </si>
  <si>
    <t>09-01-2021</t>
  </si>
  <si>
    <t>04-12-2020</t>
  </si>
  <si>
    <t>13-12-2020</t>
  </si>
  <si>
    <t>29-10-2020</t>
  </si>
  <si>
    <t>30-01-2020</t>
  </si>
  <si>
    <t>22-10-2021</t>
  </si>
  <si>
    <t>25-12-2020</t>
  </si>
  <si>
    <t>12-09-2021</t>
  </si>
  <si>
    <t>20-09-2021</t>
  </si>
  <si>
    <t>08-12-2020</t>
  </si>
  <si>
    <t>28-04-2021</t>
  </si>
  <si>
    <t>18-07-2021</t>
  </si>
  <si>
    <t>19-05-2020</t>
  </si>
  <si>
    <t>26-10-2021</t>
  </si>
  <si>
    <t>19-12-2021</t>
  </si>
  <si>
    <t>29-03-2020</t>
  </si>
  <si>
    <t>12-07-2020</t>
  </si>
  <si>
    <t>16-12-2021</t>
  </si>
  <si>
    <t>29-11-2020</t>
  </si>
  <si>
    <t>04-01-2020</t>
  </si>
  <si>
    <t>23-01-2021</t>
  </si>
  <si>
    <t>11-06-2021</t>
  </si>
  <si>
    <t>20-04-2021</t>
  </si>
  <si>
    <t>27-08-2021</t>
  </si>
  <si>
    <t>20-11-2020</t>
  </si>
  <si>
    <t>02-04-2020</t>
  </si>
  <si>
    <t>30-06-2021</t>
  </si>
  <si>
    <t>22-05-2020</t>
  </si>
  <si>
    <t>01-09-2021</t>
  </si>
  <si>
    <t>05-05-2021</t>
  </si>
  <si>
    <t>03-06-2020</t>
  </si>
  <si>
    <t>07-05-2021</t>
  </si>
  <si>
    <t>22-08-2021</t>
  </si>
  <si>
    <t>10-02-2021</t>
  </si>
  <si>
    <t>26-06-2020</t>
  </si>
  <si>
    <t>29-05-2020</t>
  </si>
  <si>
    <t>14-10-2020</t>
  </si>
  <si>
    <t>07-09-2020</t>
  </si>
  <si>
    <t>25-12-2021</t>
  </si>
  <si>
    <t>05-10-2020</t>
  </si>
  <si>
    <t>13-02-2021</t>
  </si>
  <si>
    <t>23-01-2020</t>
  </si>
  <si>
    <t>30-01-2021</t>
  </si>
  <si>
    <t>17-10-2021</t>
  </si>
  <si>
    <t>27-12-2020</t>
  </si>
  <si>
    <t>06-06-2020</t>
  </si>
  <si>
    <t>07-10-2021</t>
  </si>
  <si>
    <t>07-02-2020</t>
  </si>
  <si>
    <t>29-09-2020</t>
  </si>
  <si>
    <t>20-12-2021</t>
  </si>
  <si>
    <t>03-09-2020</t>
  </si>
  <si>
    <t>12-03-2020</t>
  </si>
  <si>
    <t>18-08-2021</t>
  </si>
  <si>
    <t>04-01-2021</t>
  </si>
  <si>
    <t>23-11-2021</t>
  </si>
  <si>
    <t>05-05-2020</t>
  </si>
  <si>
    <t>12-11-2021</t>
  </si>
  <si>
    <t>30-05-2021</t>
  </si>
  <si>
    <t>04-11-2020</t>
  </si>
  <si>
    <t>21-03-2021</t>
  </si>
  <si>
    <t>10-07-2021</t>
  </si>
  <si>
    <t>29-12-2021</t>
  </si>
  <si>
    <t>01-12-2020</t>
  </si>
  <si>
    <t>25-03-2021</t>
  </si>
  <si>
    <t>19-09-2020</t>
  </si>
  <si>
    <t>09-10-2021</t>
  </si>
  <si>
    <t>12-12-2021</t>
  </si>
  <si>
    <t>22-09-2020</t>
  </si>
  <si>
    <t>05-08-2021</t>
  </si>
  <si>
    <t>23-07-2021</t>
  </si>
  <si>
    <t>26-11-2021</t>
  </si>
  <si>
    <t>10-01-2021</t>
  </si>
  <si>
    <t>14-03-2020</t>
  </si>
  <si>
    <t>26-03-2020</t>
  </si>
  <si>
    <t>24-07-2020</t>
  </si>
  <si>
    <t>18-08-2020</t>
  </si>
  <si>
    <t>01-05-2020</t>
  </si>
  <si>
    <t>26-07-2020</t>
  </si>
  <si>
    <t>26-05-2020</t>
  </si>
  <si>
    <t>27-02-2021</t>
  </si>
  <si>
    <t>10-03-2021</t>
  </si>
  <si>
    <t>19-07-2021</t>
  </si>
  <si>
    <t>18-03-2020</t>
  </si>
  <si>
    <t>01-02-2021</t>
  </si>
  <si>
    <t>13-01-2020</t>
  </si>
  <si>
    <t>14-07-2020</t>
  </si>
  <si>
    <t>22-01-2020</t>
  </si>
  <si>
    <t>12-03-2021</t>
  </si>
  <si>
    <t>15-11-2020</t>
  </si>
  <si>
    <t>18-04-2021</t>
  </si>
  <si>
    <t>25-11-2021</t>
  </si>
  <si>
    <t>11-03-2021</t>
  </si>
  <si>
    <t>01-01-2020</t>
  </si>
  <si>
    <t>20-12-2020</t>
  </si>
  <si>
    <t>08-03-2021</t>
  </si>
  <si>
    <t>01-08-2021</t>
  </si>
  <si>
    <t>27-03-2021</t>
  </si>
  <si>
    <t>19-08-2021</t>
  </si>
  <si>
    <t>07-12-2020</t>
  </si>
  <si>
    <t>03-04-2021</t>
  </si>
  <si>
    <t>26-04-2020</t>
  </si>
  <si>
    <t>13-11-2020</t>
  </si>
  <si>
    <t>30-08-2021</t>
  </si>
  <si>
    <t>16-04-2021</t>
  </si>
  <si>
    <t>08-01-2020</t>
  </si>
  <si>
    <t>12-10-2020</t>
  </si>
  <si>
    <t>15-12-2020</t>
  </si>
  <si>
    <t>26-03-2021</t>
  </si>
  <si>
    <t>11-08-2021</t>
  </si>
  <si>
    <t>02-05-2020</t>
  </si>
  <si>
    <t>10-05-2021</t>
  </si>
  <si>
    <t>11-08-2020</t>
  </si>
  <si>
    <t>18-04-2020</t>
  </si>
  <si>
    <t>06-08-2021</t>
  </si>
  <si>
    <t>10-04-2021</t>
  </si>
  <si>
    <t>23-04-2020</t>
  </si>
  <si>
    <t>06-11-2020</t>
  </si>
  <si>
    <t>22-11-2020</t>
  </si>
  <si>
    <t>02-07-2021</t>
  </si>
  <si>
    <t>08-12-2021</t>
  </si>
  <si>
    <t>20-03-2020</t>
  </si>
  <si>
    <t>29-09-2021</t>
  </si>
  <si>
    <t>31-01-2021</t>
  </si>
  <si>
    <t>24-02-2021</t>
  </si>
  <si>
    <t>24-05-2021</t>
  </si>
  <si>
    <t>16-08-2021</t>
  </si>
  <si>
    <t>23-04-2021</t>
  </si>
  <si>
    <t>29-11-2021</t>
  </si>
  <si>
    <t>27-09-2021</t>
  </si>
  <si>
    <t>19-02-2021</t>
  </si>
  <si>
    <t>08-09-2020</t>
  </si>
  <si>
    <t>10-11-2021</t>
  </si>
  <si>
    <t>02-01-2021</t>
  </si>
  <si>
    <t>13-09-2020</t>
  </si>
  <si>
    <t>30-10-2020</t>
  </si>
  <si>
    <t>14-06-2021</t>
  </si>
  <si>
    <t>17-02-2021</t>
  </si>
  <si>
    <t>08-08-2020</t>
  </si>
  <si>
    <t>22-12-2020</t>
  </si>
  <si>
    <t>05-08-2020</t>
  </si>
  <si>
    <t>01-07-2020</t>
  </si>
  <si>
    <t>31-01-2020</t>
  </si>
  <si>
    <t>19-11-2020</t>
  </si>
  <si>
    <t>07-04-2020</t>
  </si>
  <si>
    <t>17-04-2021</t>
  </si>
  <si>
    <t>19-02-2020</t>
  </si>
  <si>
    <t>20-05-2020</t>
  </si>
  <si>
    <t>12-02-2020</t>
  </si>
  <si>
    <t>27-11-2021</t>
  </si>
  <si>
    <t>09-02-2021</t>
  </si>
  <si>
    <t>04-11-2021</t>
  </si>
  <si>
    <t>15-11-2021</t>
  </si>
  <si>
    <t>22-07-2021</t>
  </si>
  <si>
    <t>22-09-2021</t>
  </si>
  <si>
    <t>06-05-2021</t>
  </si>
  <si>
    <t>30-03-2020</t>
  </si>
  <si>
    <t>28-01-2021</t>
  </si>
  <si>
    <t>01-04-2020</t>
  </si>
  <si>
    <t>27-07-2021</t>
  </si>
  <si>
    <t>27-06-2020</t>
  </si>
  <si>
    <t>27-03-2020</t>
  </si>
  <si>
    <t>14-05-2020</t>
  </si>
  <si>
    <t>27-10-2020</t>
  </si>
  <si>
    <t>08-01-2021</t>
  </si>
  <si>
    <t>11-10-2020</t>
  </si>
  <si>
    <t>08-10-2020</t>
  </si>
  <si>
    <t>01-11-2021</t>
  </si>
  <si>
    <t>16-03-2020</t>
  </si>
  <si>
    <t>12-02-2021</t>
  </si>
  <si>
    <t>20-06-2020</t>
  </si>
  <si>
    <t>05-04-2020</t>
  </si>
  <si>
    <t>24-08-2021</t>
  </si>
  <si>
    <t>15-08-2021</t>
  </si>
  <si>
    <t>25-10-2021</t>
  </si>
  <si>
    <t>29-02-2020</t>
  </si>
  <si>
    <t>18-10-2020</t>
  </si>
  <si>
    <t>19-08-2020</t>
  </si>
  <si>
    <t>31-12-2021</t>
  </si>
  <si>
    <t>31-10-2021</t>
  </si>
  <si>
    <t>15-06-2020</t>
  </si>
  <si>
    <t>26-01-2021</t>
  </si>
  <si>
    <t>27-05-2021</t>
  </si>
  <si>
    <t>09-04-2021</t>
  </si>
  <si>
    <t>16-10-2021</t>
  </si>
  <si>
    <t>15-02-2021</t>
  </si>
  <si>
    <t>23-06-2021</t>
  </si>
  <si>
    <t>15-05-2021</t>
  </si>
  <si>
    <t>23-03-2021</t>
  </si>
  <si>
    <t>21-03-2020</t>
  </si>
  <si>
    <t>23-08-2020</t>
  </si>
  <si>
    <t>14-01-2020</t>
  </si>
  <si>
    <t>08-05-2020</t>
  </si>
  <si>
    <t>20-05-2021</t>
  </si>
  <si>
    <t>07-09-2021</t>
  </si>
  <si>
    <t>08-07-2020</t>
  </si>
  <si>
    <t>23-11-2020</t>
  </si>
  <si>
    <t>24-12-2021</t>
  </si>
  <si>
    <t>17-03-2020</t>
  </si>
  <si>
    <t>03-03-2020</t>
  </si>
  <si>
    <t>09-06-2021</t>
  </si>
  <si>
    <t>23-12-2020</t>
  </si>
  <si>
    <t>19-05-2021</t>
  </si>
  <si>
    <t>13-01-2021</t>
  </si>
  <si>
    <t>19-11-2021</t>
  </si>
  <si>
    <t>05-12-2020</t>
  </si>
  <si>
    <t>05-11-2021</t>
  </si>
  <si>
    <t>26-12-2021</t>
  </si>
  <si>
    <t>17-12-2021</t>
  </si>
  <si>
    <t>05-07-2021</t>
  </si>
  <si>
    <t>09-09-2020</t>
  </si>
  <si>
    <t>25-04-2020</t>
  </si>
  <si>
    <t>04-03-2021</t>
  </si>
  <si>
    <t>26-04-2021</t>
  </si>
  <si>
    <t>30-04-2021</t>
  </si>
  <si>
    <t>31-03-2020</t>
  </si>
  <si>
    <t>11-01-2021</t>
  </si>
  <si>
    <t>02-02-2020</t>
  </si>
  <si>
    <t>01-06-2020</t>
  </si>
  <si>
    <t>12-05-2020</t>
  </si>
  <si>
    <t>30-10-2021</t>
  </si>
  <si>
    <t>19-10-2021</t>
  </si>
  <si>
    <t>14-08-2021</t>
  </si>
  <si>
    <t>31-12-2020</t>
  </si>
  <si>
    <t>22-02-2021</t>
  </si>
  <si>
    <t>29-07-2021</t>
  </si>
  <si>
    <t>24-01-2020</t>
  </si>
  <si>
    <t>18-02-2020</t>
  </si>
  <si>
    <t>03-07-2021</t>
  </si>
  <si>
    <t>17-08-2020</t>
  </si>
  <si>
    <t>28-04-2020</t>
  </si>
  <si>
    <t>31-08-2021</t>
  </si>
  <si>
    <t>30-09-2021</t>
  </si>
  <si>
    <t>22-07-2020</t>
  </si>
  <si>
    <t>13-10-2021</t>
  </si>
  <si>
    <t>12-06-2021</t>
  </si>
  <si>
    <t>18-01-2021</t>
  </si>
  <si>
    <t>14-01-2021</t>
  </si>
  <si>
    <t>31-10-2020</t>
  </si>
  <si>
    <t>11-02-2021</t>
  </si>
  <si>
    <t>29-07-2020</t>
  </si>
  <si>
    <t>12-09-2020</t>
  </si>
  <si>
    <t>11-05-2021</t>
  </si>
  <si>
    <t>14-07-2021</t>
  </si>
  <si>
    <t>19-07-2020</t>
  </si>
  <si>
    <t>30-07-2021</t>
  </si>
  <si>
    <t>20-11-2021</t>
  </si>
  <si>
    <t>04-12-2021</t>
  </si>
  <si>
    <t>24-09-2021</t>
  </si>
  <si>
    <t>10-07-2020</t>
  </si>
  <si>
    <t>07-03-2021</t>
  </si>
  <si>
    <t>14-02-2021</t>
  </si>
  <si>
    <t>09-07-2020</t>
  </si>
  <si>
    <t>07-01-2020</t>
  </si>
  <si>
    <t>29-06-2021</t>
  </si>
  <si>
    <t>21-11-2020</t>
  </si>
  <si>
    <t>21-07-2020</t>
  </si>
  <si>
    <t>07-05-2020</t>
  </si>
  <si>
    <t>06-07-2021</t>
  </si>
  <si>
    <t>12-01-2020</t>
  </si>
  <si>
    <t>14-09-2021</t>
  </si>
  <si>
    <t>20-01-2020</t>
  </si>
  <si>
    <t>14-12-2021</t>
  </si>
  <si>
    <t>15-04-2020</t>
  </si>
  <si>
    <t>28-05-2020</t>
  </si>
  <si>
    <t>07-01-2021</t>
  </si>
  <si>
    <t>10-01-2020</t>
  </si>
  <si>
    <t>04-04-2021</t>
  </si>
  <si>
    <t>03-10-2021</t>
  </si>
  <si>
    <t>21-01-2021</t>
  </si>
  <si>
    <t>01-12-2021</t>
  </si>
  <si>
    <t>04-06-2021</t>
  </si>
  <si>
    <t>13-05-2020</t>
  </si>
  <si>
    <t>13-02-2020</t>
  </si>
  <si>
    <t>21-02-2020</t>
  </si>
  <si>
    <t>02-09-2020</t>
  </si>
  <si>
    <t>09-11-2020</t>
  </si>
  <si>
    <t>07-03-2020</t>
  </si>
  <si>
    <t>15-03-2021</t>
  </si>
  <si>
    <t>24-11-2020</t>
  </si>
  <si>
    <t>30-11-2021</t>
  </si>
  <si>
    <t>16-08-2020</t>
  </si>
  <si>
    <t>28-12-2020</t>
  </si>
  <si>
    <t>25-08-2021</t>
  </si>
  <si>
    <t>17-04-2020</t>
  </si>
  <si>
    <t>16-06-2021</t>
  </si>
  <si>
    <t>07-06-2020</t>
  </si>
  <si>
    <t>16-09-2020</t>
  </si>
  <si>
    <t>11-09-2021</t>
  </si>
  <si>
    <t>26-10-2020</t>
  </si>
  <si>
    <t>05-06-2021</t>
  </si>
  <si>
    <t>04-05-2020</t>
  </si>
  <si>
    <t>21-04-2020</t>
  </si>
  <si>
    <t>27-04-2021</t>
  </si>
  <si>
    <t>19-03-2021</t>
  </si>
  <si>
    <t>14-03-2021</t>
  </si>
  <si>
    <t>16-11-2020</t>
  </si>
  <si>
    <t>25-05-2020</t>
  </si>
  <si>
    <t>24-02-2020</t>
  </si>
  <si>
    <t>01-01-2021</t>
  </si>
  <si>
    <t>23-10-2020</t>
  </si>
  <si>
    <t>15-01-2021</t>
  </si>
  <si>
    <t>05-01-2021</t>
  </si>
  <si>
    <t>15-03-2020</t>
  </si>
  <si>
    <t>30-06-2020</t>
  </si>
  <si>
    <t>26-02-2021</t>
  </si>
  <si>
    <t>07-11-2020</t>
  </si>
  <si>
    <t>11-03-2020</t>
  </si>
  <si>
    <t>31-05-2020</t>
  </si>
  <si>
    <t>14-04-2021</t>
  </si>
  <si>
    <t>28-02-2020</t>
  </si>
  <si>
    <t>27-01-2020</t>
  </si>
  <si>
    <t>22-01-2021</t>
  </si>
  <si>
    <t>28-05-2021</t>
  </si>
  <si>
    <t>04-02-2021</t>
  </si>
  <si>
    <t>25-01-2021</t>
  </si>
  <si>
    <t>27-10-2021</t>
  </si>
  <si>
    <t>06-04-2020</t>
  </si>
  <si>
    <t>02-07-2020</t>
  </si>
  <si>
    <t>14-05-2021</t>
  </si>
  <si>
    <t>28-12-2021</t>
  </si>
  <si>
    <t>21-06-2021</t>
  </si>
  <si>
    <t>27-09-2020</t>
  </si>
  <si>
    <t>29-01-2021</t>
  </si>
  <si>
    <t>25-09-2020</t>
  </si>
  <si>
    <t>05-06-2020</t>
  </si>
  <si>
    <t>03-05-2021</t>
  </si>
  <si>
    <t>19-10-2020</t>
  </si>
  <si>
    <t>06-09-2020</t>
  </si>
  <si>
    <t>12-04-2021</t>
  </si>
  <si>
    <t>13-04-2021</t>
  </si>
  <si>
    <t>19-04-2021</t>
  </si>
  <si>
    <t>02-12-2021</t>
  </si>
  <si>
    <t>21-04-2021</t>
  </si>
  <si>
    <t>17-01-2020</t>
  </si>
  <si>
    <t>30-08-2020</t>
  </si>
  <si>
    <t>17-10-2020</t>
  </si>
  <si>
    <t>08-08-2021</t>
  </si>
  <si>
    <t>21-09-2020</t>
  </si>
  <si>
    <t>27-05-2020</t>
  </si>
  <si>
    <t>24-10-2021</t>
  </si>
  <si>
    <t>27-12-2021</t>
  </si>
  <si>
    <t>03-11-2020</t>
  </si>
  <si>
    <t>16-02-2021</t>
  </si>
  <si>
    <t>28-10-2021</t>
  </si>
  <si>
    <t>25-01-2020</t>
  </si>
  <si>
    <t>30-05-2020</t>
  </si>
  <si>
    <t>28-08-2021</t>
  </si>
  <si>
    <t>11-06-2020</t>
  </si>
  <si>
    <t>10-10-2020</t>
  </si>
  <si>
    <t>11-04-2021</t>
  </si>
  <si>
    <t>03-12-2021</t>
  </si>
  <si>
    <t>28-07-2020</t>
  </si>
  <si>
    <t>08-11-2020</t>
  </si>
  <si>
    <t>09-08-2021</t>
  </si>
  <si>
    <t>09-01-2020</t>
  </si>
  <si>
    <t>28-09-2020</t>
  </si>
  <si>
    <t>24-11-2021</t>
  </si>
  <si>
    <t>06-12-2020</t>
  </si>
  <si>
    <t>30-07-2020</t>
  </si>
  <si>
    <t>04-09-2021</t>
  </si>
  <si>
    <t>09-11-2021</t>
  </si>
  <si>
    <t>06-12-2021</t>
  </si>
  <si>
    <t>03-02-2021</t>
  </si>
  <si>
    <t>02-11-2021</t>
  </si>
  <si>
    <t>28-06-2021</t>
  </si>
  <si>
    <t>07-07-2021</t>
  </si>
  <si>
    <t>10-09-2020</t>
  </si>
  <si>
    <t>08-11-2021</t>
  </si>
  <si>
    <t>16-01-2021</t>
  </si>
  <si>
    <t>16-04-2020</t>
  </si>
  <si>
    <t>15-06-2021</t>
  </si>
  <si>
    <t>31-07-2020</t>
  </si>
  <si>
    <t>22-03-2021</t>
  </si>
  <si>
    <t>12-07-2021</t>
  </si>
  <si>
    <t>04-07-2020</t>
  </si>
  <si>
    <t>21-10-2021</t>
  </si>
  <si>
    <t>07-11-2021</t>
  </si>
  <si>
    <t>24-01-2021</t>
  </si>
  <si>
    <t>21-11-2021</t>
  </si>
  <si>
    <t>25-09-2021</t>
  </si>
  <si>
    <t>02-12-2020</t>
  </si>
  <si>
    <t>21-05-2021</t>
  </si>
  <si>
    <t>19-03-2020</t>
  </si>
  <si>
    <t>10-02-2020</t>
  </si>
  <si>
    <t>16-09-2021</t>
  </si>
  <si>
    <t>24-05-2020</t>
  </si>
  <si>
    <t>24-03-2020</t>
  </si>
  <si>
    <t>13-12-2021</t>
  </si>
  <si>
    <t>25-02-2020</t>
  </si>
  <si>
    <t>23-02-2020</t>
  </si>
  <si>
    <t>05-03-2021</t>
  </si>
  <si>
    <t>18-12-2020</t>
  </si>
  <si>
    <t>27-11-2020</t>
  </si>
  <si>
    <t>16-10-2020</t>
  </si>
  <si>
    <t>07-12-2021</t>
  </si>
  <si>
    <t>11-07-2020</t>
  </si>
  <si>
    <t>03-10-2020</t>
  </si>
  <si>
    <t>17-11-2020</t>
  </si>
  <si>
    <t>23-09-2020</t>
  </si>
  <si>
    <t>29-12-2020</t>
  </si>
  <si>
    <t>26-08-2020</t>
  </si>
  <si>
    <t>17-07-2021</t>
  </si>
  <si>
    <t>12-11-2020</t>
  </si>
  <si>
    <t>02-10-2020</t>
  </si>
  <si>
    <t>27-01-2021</t>
  </si>
  <si>
    <t>03-06-2021</t>
  </si>
  <si>
    <t>28-10-2020</t>
  </si>
  <si>
    <t>10-04-2020</t>
  </si>
  <si>
    <t>11-01-2020</t>
  </si>
  <si>
    <t>18-10-2021</t>
  </si>
  <si>
    <t>08-04-2020</t>
  </si>
  <si>
    <t>03-09-2021</t>
  </si>
  <si>
    <t>14-11-2021</t>
  </si>
  <si>
    <t>27-07-2020</t>
  </si>
  <si>
    <t>04-10-2021</t>
  </si>
  <si>
    <t>02-04-2021</t>
  </si>
  <si>
    <t>17-01-2021</t>
  </si>
  <si>
    <t>27-08-2020</t>
  </si>
  <si>
    <t>26-09-2021</t>
  </si>
  <si>
    <t>02-05-2021</t>
  </si>
  <si>
    <t>27-02-2020</t>
  </si>
  <si>
    <t>07-10-2020</t>
  </si>
  <si>
    <t>10-06-2021</t>
  </si>
  <si>
    <t>12-06-2020</t>
  </si>
  <si>
    <t>11-04-2020</t>
  </si>
  <si>
    <t>20-01-2021</t>
  </si>
  <si>
    <t>06-10-2021</t>
  </si>
  <si>
    <t>22-06-2020</t>
  </si>
  <si>
    <t>24-07-2021</t>
  </si>
  <si>
    <t>30-12-2021</t>
  </si>
  <si>
    <t>25-04-2021</t>
  </si>
  <si>
    <t>03-01-2020</t>
  </si>
  <si>
    <t>17-06-2021</t>
  </si>
  <si>
    <t>18-07-2020</t>
  </si>
  <si>
    <t>22-05-2021</t>
  </si>
  <si>
    <t>05-07-2020</t>
  </si>
  <si>
    <t>02-01-2020</t>
  </si>
  <si>
    <t>08-09-2021</t>
  </si>
  <si>
    <t>16-06-2020</t>
  </si>
  <si>
    <t>04-07-2021</t>
  </si>
  <si>
    <t>15-12-2021</t>
  </si>
  <si>
    <t>18-01-2020</t>
  </si>
  <si>
    <t>20-04-2020</t>
  </si>
  <si>
    <t>19-01-2021</t>
  </si>
  <si>
    <t>11-02-2020</t>
  </si>
  <si>
    <t>26-06-2021</t>
  </si>
  <si>
    <t>16-07-2021</t>
  </si>
  <si>
    <t>29-08-2021</t>
  </si>
  <si>
    <t>05-10-2021</t>
  </si>
  <si>
    <t>07-02-2021</t>
  </si>
  <si>
    <t>06-03-2021</t>
  </si>
  <si>
    <t>13-04-2020</t>
  </si>
  <si>
    <t>11-12-2021</t>
  </si>
  <si>
    <t>04-02-2020</t>
  </si>
  <si>
    <t>12-12-2020</t>
  </si>
  <si>
    <t>30-03-2021</t>
  </si>
  <si>
    <t>03-01-2021</t>
  </si>
  <si>
    <t>23-06-2020</t>
  </si>
  <si>
    <t>15-10-2021</t>
  </si>
  <si>
    <t>15-07-2021</t>
  </si>
  <si>
    <t>31-05-2021</t>
  </si>
  <si>
    <t>02-10-2021</t>
  </si>
  <si>
    <t>08-04-2021</t>
  </si>
  <si>
    <t>10-08-2020</t>
  </si>
  <si>
    <t>04-08-2020</t>
  </si>
  <si>
    <t>20-10-2021</t>
  </si>
  <si>
    <t>10-12-2021</t>
  </si>
  <si>
    <t>02-03-2020</t>
  </si>
  <si>
    <t>22-02-2020</t>
  </si>
  <si>
    <t>01-07-2021</t>
  </si>
  <si>
    <t>11-05-2020</t>
  </si>
  <si>
    <t>23-02-2021</t>
  </si>
  <si>
    <t>03-02-2020</t>
  </si>
  <si>
    <t>06-10-2020</t>
  </si>
  <si>
    <t>03-08-2020</t>
  </si>
  <si>
    <t>17-08-2021</t>
  </si>
  <si>
    <t>02-06-2020</t>
  </si>
  <si>
    <t>30-04-2020</t>
  </si>
  <si>
    <t>20-03-2021</t>
  </si>
  <si>
    <t>18-09-2021</t>
  </si>
  <si>
    <t>18-05-2021</t>
  </si>
  <si>
    <t>06-06-2021</t>
  </si>
  <si>
    <t>18-05-2020</t>
  </si>
  <si>
    <t>13-10-2020</t>
  </si>
  <si>
    <t>16-02-2020</t>
  </si>
  <si>
    <t>08-02-2020</t>
  </si>
  <si>
    <t>24-04-2020</t>
  </si>
  <si>
    <t>09-04-2020</t>
  </si>
  <si>
    <t>04-05-2021</t>
  </si>
  <si>
    <t>28-03-2021</t>
  </si>
  <si>
    <t>14-11-2020</t>
  </si>
  <si>
    <t>17-02-2020</t>
  </si>
  <si>
    <t>06-01-2020</t>
  </si>
  <si>
    <t>31-07-2021</t>
  </si>
  <si>
    <t>18-12-2021</t>
  </si>
  <si>
    <t>09-02-2020</t>
  </si>
  <si>
    <t>22-10-2020</t>
  </si>
  <si>
    <t>09-12-2020</t>
  </si>
  <si>
    <t>21-01-2020</t>
  </si>
  <si>
    <t>27-04-2020</t>
  </si>
  <si>
    <t>14-06-2020</t>
  </si>
  <si>
    <t>01-09-2020</t>
  </si>
  <si>
    <t>24-10-2020</t>
  </si>
  <si>
    <t>08-05-2021</t>
  </si>
  <si>
    <t>10-09-2021</t>
  </si>
  <si>
    <t>01-04-2021</t>
  </si>
  <si>
    <t>17-11-2021</t>
  </si>
  <si>
    <t>01-02-2020</t>
  </si>
  <si>
    <t>21-10-2020</t>
  </si>
  <si>
    <t>09-03-2020</t>
  </si>
  <si>
    <t>13-07-2020</t>
  </si>
  <si>
    <t>17-03-2021</t>
  </si>
  <si>
    <t>20-09-2020</t>
  </si>
  <si>
    <t>20-02-2021</t>
  </si>
  <si>
    <t>17-09-2021</t>
  </si>
  <si>
    <t>10-12-2020</t>
  </si>
  <si>
    <t>23-09-2021</t>
  </si>
  <si>
    <t>25-03-2020</t>
  </si>
  <si>
    <t>23-03-2020</t>
  </si>
  <si>
    <t>17-07-2020</t>
  </si>
  <si>
    <t>09-12-2021</t>
  </si>
  <si>
    <t>21-02-2021</t>
  </si>
  <si>
    <t>23-08-2021</t>
  </si>
  <si>
    <t>26-02-2020</t>
  </si>
  <si>
    <t>17-05-2020</t>
  </si>
  <si>
    <t>23-12-2021</t>
  </si>
  <si>
    <t>29-01-2020</t>
  </si>
  <si>
    <t>25-07-2020</t>
  </si>
  <si>
    <t>01-03-2020</t>
  </si>
  <si>
    <t>29-03-2021</t>
  </si>
  <si>
    <t>30-12-2020</t>
  </si>
  <si>
    <t>30-09-2020</t>
  </si>
  <si>
    <t>05-03-2020</t>
  </si>
  <si>
    <t>26-07-2021</t>
  </si>
  <si>
    <t>15-04-2021</t>
  </si>
  <si>
    <t>11-10-2021</t>
  </si>
  <si>
    <t>22-04-2021</t>
  </si>
  <si>
    <t>29-04-2021</t>
  </si>
  <si>
    <t>06-05-2020</t>
  </si>
  <si>
    <t>18-11-2021</t>
  </si>
  <si>
    <t>14-12-2020</t>
  </si>
  <si>
    <t>04-03-2020</t>
  </si>
  <si>
    <t>19-06-2021</t>
  </si>
  <si>
    <t>22-12-2021</t>
  </si>
  <si>
    <t>31-08-2020</t>
  </si>
  <si>
    <t>05-12-2021</t>
  </si>
  <si>
    <t>01-10-2020</t>
  </si>
  <si>
    <t>14-04-2020</t>
  </si>
  <si>
    <t>26-12-2020</t>
  </si>
  <si>
    <t>02-11-2020</t>
  </si>
  <si>
    <t>10-11-2020</t>
  </si>
  <si>
    <t>09-05-2021</t>
  </si>
  <si>
    <t>05-09-2020</t>
  </si>
  <si>
    <t>16-05-2020</t>
  </si>
  <si>
    <t>12-01-2021</t>
  </si>
  <si>
    <t>25-06-2020</t>
  </si>
  <si>
    <t>06-08-2020</t>
  </si>
  <si>
    <t>21-07-2021</t>
  </si>
  <si>
    <t>13-07-2021</t>
  </si>
  <si>
    <t>15-01-2020</t>
  </si>
  <si>
    <t>05-04-2021</t>
  </si>
  <si>
    <t>13-06-2020</t>
  </si>
  <si>
    <t>10-05-2020</t>
  </si>
  <si>
    <t>25-10-2020</t>
  </si>
  <si>
    <t>06-02-2020</t>
  </si>
  <si>
    <t>11-11-2021</t>
  </si>
  <si>
    <t>12-04-2020</t>
  </si>
  <si>
    <t>06-03-2020</t>
  </si>
  <si>
    <t>26-08-2021</t>
  </si>
  <si>
    <t>19-06-2020</t>
  </si>
  <si>
    <t>18-06-2020</t>
  </si>
  <si>
    <t>06-01-2021</t>
  </si>
  <si>
    <t>10-03-2020</t>
  </si>
  <si>
    <t>06-11-2021</t>
  </si>
  <si>
    <t>09-10-2020</t>
  </si>
  <si>
    <t>12-05-2021</t>
  </si>
  <si>
    <t>06-09-2021</t>
  </si>
  <si>
    <t>14-10-2021</t>
  </si>
  <si>
    <t>26-11-2020</t>
  </si>
  <si>
    <t>02-08-2020</t>
  </si>
  <si>
    <t>24-03-2021</t>
  </si>
  <si>
    <t>23-05-2021</t>
  </si>
  <si>
    <t>29-06-2020</t>
  </si>
  <si>
    <t>04-08-2021</t>
  </si>
  <si>
    <t>24-09-2020</t>
  </si>
  <si>
    <t>08-10-2021</t>
  </si>
  <si>
    <t>01-10-2021</t>
  </si>
  <si>
    <t>28-11-2020</t>
  </si>
  <si>
    <t>22-03-2020</t>
  </si>
  <si>
    <t>16-01-2020</t>
  </si>
  <si>
    <t>09-09-2021</t>
  </si>
  <si>
    <t>28-11-2021</t>
  </si>
  <si>
    <t>03-04-2020</t>
  </si>
  <si>
    <t>05-02-2021</t>
  </si>
  <si>
    <t>25-07-2021</t>
  </si>
  <si>
    <t>21-12-2021</t>
  </si>
  <si>
    <t>31-03-2021</t>
  </si>
  <si>
    <t>17-12-2020</t>
  </si>
  <si>
    <t>25-11-2020</t>
  </si>
  <si>
    <t>01-08-2020</t>
  </si>
  <si>
    <t>13-03-2021</t>
  </si>
  <si>
    <t>03-08-2021</t>
  </si>
  <si>
    <t>29-10-2021</t>
  </si>
  <si>
    <t>13-03-2020</t>
  </si>
  <si>
    <t>11-11-2020</t>
  </si>
  <si>
    <t>30-11-2020</t>
  </si>
  <si>
    <t>21-06-2020</t>
  </si>
  <si>
    <t>13-09-2021</t>
  </si>
  <si>
    <t>17-05-2021</t>
  </si>
  <si>
    <t>07-08-2021</t>
  </si>
  <si>
    <t>16-03-2021</t>
  </si>
  <si>
    <t>03-07-2020</t>
  </si>
  <si>
    <t>28-06-2020</t>
  </si>
  <si>
    <t>28-02-2021</t>
  </si>
  <si>
    <t>20-06-2021</t>
  </si>
  <si>
    <t>24-06-2021</t>
  </si>
  <si>
    <t>15-09-2020</t>
  </si>
  <si>
    <t>01-05-2021</t>
  </si>
  <si>
    <t>29-08-2020</t>
  </si>
  <si>
    <t>18-06-2021</t>
  </si>
  <si>
    <t>25-02-2021</t>
  </si>
  <si>
    <t>04-06-2020</t>
  </si>
  <si>
    <t>21-08-2020</t>
  </si>
  <si>
    <t>09-06-2020</t>
  </si>
  <si>
    <t>20-08-2021</t>
  </si>
  <si>
    <t>06-02-2021</t>
  </si>
  <si>
    <t>19-09-2021</t>
  </si>
  <si>
    <t>16-05-2021</t>
  </si>
  <si>
    <t>20-07-2021</t>
  </si>
  <si>
    <t>14-08-2020</t>
  </si>
  <si>
    <t>24-04-2021</t>
  </si>
  <si>
    <t>13-08-2020</t>
  </si>
  <si>
    <t>23-07-2020</t>
  </si>
  <si>
    <t>Grand Total</t>
  </si>
  <si>
    <t>Avg Sales</t>
  </si>
  <si>
    <t>Profit</t>
  </si>
  <si>
    <t>Total Profit</t>
  </si>
  <si>
    <t>Unit sold</t>
  </si>
  <si>
    <t>Row Labels</t>
  </si>
  <si>
    <t>Sum of Total Sales</t>
  </si>
  <si>
    <t>Sum of Units Sold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</si>
</sst>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quot;₹&quot;\ * #,##0.00_ ;_ &quot;₹&quot;\ * \-#,##0.00_ ;_ &quot;₹&quot;\ * &quot;-&quot;??_ ;_ @_ "/>
    <numFmt numFmtId="164" formatCode="_ &quot;₹&quot;\ * #,##0_ ;_ &quot;₹&quot;\ * \-#,##0_ ;_ &quot;₹&quot;\ * &quot;-&quot;??_ ;_ @_ "/>
    <numFmt numFmtId="165" formatCode="_ [$₹-4009]\ * #,##0_ ;_ [$₹-4009]\ * \-#,##0_ ;_ [$₹-4009]\ * &quot;-&quot;??_ ;_ @_ "/>
  </numFmts>
  <fonts count="2" x14ac:knownFonts="1">
    <font>
      <sz val="11"/>
      <color theme="1"/>
      <name val="Calibri"/>
      <family val="2"/>
      <scheme val="minor"/>
    </font>
    <font>
      <sz val="11"/>
      <color theme="1"/>
      <name val="Calibri"/>
      <family val="2"/>
      <scheme val="minor"/>
    </font>
  </fonts>
  <fills count="3">
    <fill>
      <patternFill patternType="none"/>
    </fill>
    <fill>
      <patternFill patternType="gray125"/>
    </fill>
    <fill>
      <patternFill patternType="solid">
        <fgColor theme="4"/>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7">
    <xf numFmtId="0" fontId="0" fillId="0" borderId="0" xfId="0"/>
    <xf numFmtId="0" fontId="0" fillId="2" borderId="0" xfId="0" applyFill="1"/>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4" fontId="0" fillId="0" borderId="0" xfId="1" applyNumberFormat="1" applyFont="1"/>
  </cellXfs>
  <cellStyles count="2">
    <cellStyle name="Currency" xfId="1" builtinId="4"/>
    <cellStyle name="Normal" xfId="0" builtinId="0"/>
  </cellStyles>
  <dxfs count="10">
    <dxf>
      <numFmt numFmtId="164" formatCode="_ &quot;₹&quot;\ * #,##0_ ;_ &quot;₹&quot;\ * \-#,##0_ ;_ &quot;₹&quot;\ * &quot;-&quot;??_ ;_ @_ "/>
    </dxf>
    <dxf>
      <numFmt numFmtId="165" formatCode="_ [$₹-4009]\ * #,##0_ ;_ [$₹-4009]\ * \-#,##0_ ;_ [$₹-4009]\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
      <numFmt numFmtId="0" formatCode="General"/>
    </dxf>
    <dxf>
      <numFmt numFmtId="165" formatCode="_ [$₹-4009]\ * #,##0_ ;_ [$₹-4009]\ * \-#,##0_ ;_ [$₹-4009]\ * &quot;-&quot;??_ ;_ @_ "/>
    </dxf>
    <dxf>
      <numFmt numFmtId="164" formatCode="_ &quot;₹&quot;\ * #,##0_ ;_ &quot;₹&quot;\ * \-#,##0_ ;_ &quot;₹&quot;\ * &quot;-&quot;??_ ;_ @_ "/>
    </dxf>
    <dxf>
      <numFmt numFmtId="164" formatCode="_ &quot;₹&quot;\ * #,##0_ ;_ &quot;₹&quot;\ * \-#,##0_ ;_ &quot;₹&quot;\ * &quot;-&quot;??_ ;_ @_ "/>
    </dxf>
    <dxf>
      <numFmt numFmtId="164" formatCode="_ &quot;₹&quot;\ * #,##0_ ;_ &quot;₹&quot;\ * \-#,##0_ ;_ &quot;₹&quot;\ * &quot;-&quot;??_ ;_ @_ "/>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tables!PivotTable1</c:name>
    <c:fmtId val="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22222222222222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5825027685492801"/>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6651908337039265"/>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dLbl>
          <c:idx val="0"/>
          <c:layout>
            <c:manualLayout>
              <c:x val="-0.16927825882229838"/>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2-1DB7-4E9F-93A4-43A0620F038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DB7-4E9F-93A4-43A0620F038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1DB7-4E9F-93A4-43A0620F038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4-1DB7-4E9F-93A4-43A0620F0380}"/>
              </c:ext>
            </c:extLst>
          </c:dPt>
          <c:dLbls>
            <c:dLbl>
              <c:idx val="0"/>
              <c:layout>
                <c:manualLayout>
                  <c:x val="0.12222222222222222"/>
                  <c:y val="-8.333333333333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1DB7-4E9F-93A4-43A0620F0380}"/>
                </c:ext>
              </c:extLst>
            </c:dLbl>
            <c:dLbl>
              <c:idx val="1"/>
              <c:layout>
                <c:manualLayout>
                  <c:x val="0.15825027685492801"/>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1DB7-4E9F-93A4-43A0620F0380}"/>
                </c:ext>
              </c:extLst>
            </c:dLbl>
            <c:dLbl>
              <c:idx val="2"/>
              <c:layout>
                <c:manualLayout>
                  <c:x val="-0.16927825882229838"/>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1DB7-4E9F-93A4-43A0620F0380}"/>
                </c:ext>
              </c:extLst>
            </c:dLbl>
            <c:dLbl>
              <c:idx val="3"/>
              <c:layout>
                <c:manualLayout>
                  <c:x val="-0.16651908337039265"/>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1DB7-4E9F-93A4-43A0620F0380}"/>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bg1">
                      <a:lumMod val="50000"/>
                    </a:schemeClr>
                  </a:solidFill>
                  <a:round/>
                </a:ln>
                <a:effectLst/>
              </c:spPr>
            </c:leaderLines>
            <c:extLst>
              <c:ext xmlns:c15="http://schemas.microsoft.com/office/drawing/2012/chart" uri="{CE6537A1-D6FC-4f65-9D91-7224C49458BB}"/>
            </c:extLst>
          </c:dLbls>
          <c:cat>
            <c:strRef>
              <c:f>'Pivot tables'!$A$4:$A$8</c:f>
              <c:strCache>
                <c:ptCount val="4"/>
                <c:pt idx="0">
                  <c:v>East</c:v>
                </c:pt>
                <c:pt idx="1">
                  <c:v>North</c:v>
                </c:pt>
                <c:pt idx="2">
                  <c:v>South</c:v>
                </c:pt>
                <c:pt idx="3">
                  <c:v>West</c:v>
                </c:pt>
              </c:strCache>
            </c:strRef>
          </c:cat>
          <c:val>
            <c:numRef>
              <c:f>'Pivot tables'!$B$4:$B$8</c:f>
              <c:numCache>
                <c:formatCode>_ "₹"\ * #,##0_ ;_ "₹"\ * \-#,##0_ ;_ "₹"\ * "-"??_ ;_ @_ </c:formatCode>
                <c:ptCount val="4"/>
                <c:pt idx="0">
                  <c:v>183932000</c:v>
                </c:pt>
                <c:pt idx="1">
                  <c:v>184419800</c:v>
                </c:pt>
                <c:pt idx="2">
                  <c:v>187418400</c:v>
                </c:pt>
                <c:pt idx="3">
                  <c:v>178192500</c:v>
                </c:pt>
              </c:numCache>
            </c:numRef>
          </c:val>
          <c:extLst>
            <c:ext xmlns:c16="http://schemas.microsoft.com/office/drawing/2014/chart" uri="{C3380CC4-5D6E-409C-BE32-E72D297353CC}">
              <c16:uniqueId val="{00000000-1DB7-4E9F-93A4-43A0620F0380}"/>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tables!PivotTable2</c:name>
    <c:fmtId val="6"/>
  </c:pivotSource>
  <c:chart>
    <c:autoTitleDeleted val="1"/>
    <c:pivotFmts>
      <c:pivotFmt>
        <c:idx val="0"/>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0"/>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2663263329421"/>
          <c:y val="0.16708333333333336"/>
          <c:w val="0.72046009625063145"/>
          <c:h val="0.77736111111111106"/>
        </c:manualLayout>
      </c:layout>
      <c:barChart>
        <c:barDir val="bar"/>
        <c:grouping val="clustered"/>
        <c:varyColors val="0"/>
        <c:ser>
          <c:idx val="0"/>
          <c:order val="0"/>
          <c:tx>
            <c:strRef>
              <c:f>'Pivot tables'!$F$3</c:f>
              <c:strCache>
                <c:ptCount val="1"/>
                <c:pt idx="0">
                  <c:v>Total</c:v>
                </c:pt>
              </c:strCache>
            </c:strRef>
          </c:tx>
          <c:spPr>
            <a:solidFill>
              <a:schemeClr val="accent1"/>
            </a:solidFill>
            <a:ln>
              <a:noFill/>
            </a:ln>
            <a:effectLst/>
          </c:spPr>
          <c:invertIfNegative val="0"/>
          <c:dPt>
            <c:idx val="4"/>
            <c:invertIfNegative val="0"/>
            <c:bubble3D val="0"/>
            <c:spPr>
              <a:solidFill>
                <a:schemeClr val="accent1"/>
              </a:solidFill>
              <a:ln>
                <a:noFill/>
              </a:ln>
              <a:effectLst/>
            </c:spPr>
            <c:extLst>
              <c:ext xmlns:c16="http://schemas.microsoft.com/office/drawing/2014/chart" uri="{C3380CC4-5D6E-409C-BE32-E72D297353CC}">
                <c16:uniqueId val="{00000002-5676-43FF-9B36-2D301B7246CE}"/>
              </c:ext>
            </c:extLst>
          </c:dPt>
          <c:dLbls>
            <c:dLbl>
              <c:idx val="4"/>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5676-43FF-9B36-2D301B7246CE}"/>
                </c:ext>
              </c:extLst>
            </c:dLbl>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tables'!$E$4:$E$11</c:f>
              <c:strCache>
                <c:ptCount val="7"/>
                <c:pt idx="0">
                  <c:v>Action Figure</c:v>
                </c:pt>
                <c:pt idx="1">
                  <c:v>Blender</c:v>
                </c:pt>
                <c:pt idx="2">
                  <c:v>Moisturizer</c:v>
                </c:pt>
                <c:pt idx="3">
                  <c:v>Novel</c:v>
                </c:pt>
                <c:pt idx="4">
                  <c:v>Smartphone</c:v>
                </c:pt>
                <c:pt idx="5">
                  <c:v>Sneakers</c:v>
                </c:pt>
                <c:pt idx="6">
                  <c:v>Tent</c:v>
                </c:pt>
              </c:strCache>
            </c:strRef>
          </c:cat>
          <c:val>
            <c:numRef>
              <c:f>'Pivot tables'!$F$4:$F$11</c:f>
              <c:numCache>
                <c:formatCode>General</c:formatCode>
                <c:ptCount val="7"/>
                <c:pt idx="0">
                  <c:v>31419600</c:v>
                </c:pt>
                <c:pt idx="1">
                  <c:v>106907500</c:v>
                </c:pt>
                <c:pt idx="2">
                  <c:v>17709600</c:v>
                </c:pt>
                <c:pt idx="3">
                  <c:v>32112000</c:v>
                </c:pt>
                <c:pt idx="4">
                  <c:v>267190000</c:v>
                </c:pt>
                <c:pt idx="5">
                  <c:v>110348000</c:v>
                </c:pt>
                <c:pt idx="6">
                  <c:v>168276000</c:v>
                </c:pt>
              </c:numCache>
            </c:numRef>
          </c:val>
          <c:extLst>
            <c:ext xmlns:c16="http://schemas.microsoft.com/office/drawing/2014/chart" uri="{C3380CC4-5D6E-409C-BE32-E72D297353CC}">
              <c16:uniqueId val="{00000000-5676-43FF-9B36-2D301B7246CE}"/>
            </c:ext>
          </c:extLst>
        </c:ser>
        <c:dLbls>
          <c:dLblPos val="outEnd"/>
          <c:showLegendKey val="0"/>
          <c:showVal val="1"/>
          <c:showCatName val="0"/>
          <c:showSerName val="0"/>
          <c:showPercent val="0"/>
          <c:showBubbleSize val="0"/>
        </c:dLbls>
        <c:gapWidth val="35"/>
        <c:axId val="436172735"/>
        <c:axId val="436173215"/>
      </c:barChart>
      <c:catAx>
        <c:axId val="436172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173215"/>
        <c:crosses val="autoZero"/>
        <c:auto val="1"/>
        <c:lblAlgn val="ctr"/>
        <c:lblOffset val="100"/>
        <c:noMultiLvlLbl val="0"/>
      </c:catAx>
      <c:valAx>
        <c:axId val="436173215"/>
        <c:scaling>
          <c:orientation val="minMax"/>
        </c:scaling>
        <c:delete val="1"/>
        <c:axPos val="b"/>
        <c:numFmt formatCode="General" sourceLinked="1"/>
        <c:majorTickMark val="none"/>
        <c:minorTickMark val="none"/>
        <c:tickLblPos val="nextTo"/>
        <c:crossAx val="43617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tables!PivotTable3</c:name>
    <c:fmtId val="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7.40740740740740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3.70370370370370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777777777777676E-3"/>
              <c:y val="-5.55555555555555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5462668816039986E-17"/>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2731334408019993E-17"/>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7777777777777779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tables'!$I$3</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7-9FDD-4DD0-BC14-BC0A466D6E39}"/>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6-9FDD-4DD0-BC14-BC0A466D6E39}"/>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8-9FDD-4DD0-BC14-BC0A466D6E39}"/>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5-9FDD-4DD0-BC14-BC0A466D6E39}"/>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4-9FDD-4DD0-BC14-BC0A466D6E39}"/>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3-9FDD-4DD0-BC14-BC0A466D6E39}"/>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2-9FDD-4DD0-BC14-BC0A466D6E39}"/>
              </c:ext>
            </c:extLst>
          </c:dPt>
          <c:dLbls>
            <c:dLbl>
              <c:idx val="1"/>
              <c:layout>
                <c:manualLayout>
                  <c:x val="-1.2731334408019993E-17"/>
                  <c:y val="-7.40740740740740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FDD-4DD0-BC14-BC0A466D6E39}"/>
                </c:ext>
              </c:extLst>
            </c:dLbl>
            <c:dLbl>
              <c:idx val="2"/>
              <c:layout>
                <c:manualLayout>
                  <c:x val="-2.5462668816039986E-17"/>
                  <c:y val="-8.796296296296297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FDD-4DD0-BC14-BC0A466D6E39}"/>
                </c:ext>
              </c:extLst>
            </c:dLbl>
            <c:dLbl>
              <c:idx val="4"/>
              <c:layout>
                <c:manualLayout>
                  <c:x val="-2.7777777777777779E-3"/>
                  <c:y val="-6.0185185185185182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FDD-4DD0-BC14-BC0A466D6E39}"/>
                </c:ext>
              </c:extLst>
            </c:dLbl>
            <c:dLbl>
              <c:idx val="5"/>
              <c:layout>
                <c:manualLayout>
                  <c:x val="2.777777777777676E-3"/>
                  <c:y val="-5.55555555555555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FDD-4DD0-BC14-BC0A466D6E39}"/>
                </c:ext>
              </c:extLst>
            </c:dLbl>
            <c:dLbl>
              <c:idx val="7"/>
              <c:layout>
                <c:manualLayout>
                  <c:x val="0"/>
                  <c:y val="-3.703703703703705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FDD-4DD0-BC14-BC0A466D6E39}"/>
                </c:ext>
              </c:extLst>
            </c:dLbl>
            <c:dLbl>
              <c:idx val="8"/>
              <c:layout>
                <c:manualLayout>
                  <c:x val="0"/>
                  <c:y val="-2.31481481481481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FDD-4DD0-BC14-BC0A466D6E39}"/>
                </c:ext>
              </c:extLst>
            </c:dLbl>
            <c:dLbl>
              <c:idx val="9"/>
              <c:layout>
                <c:manualLayout>
                  <c:x val="0"/>
                  <c:y val="-7.407407407407405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FDD-4DD0-BC14-BC0A466D6E39}"/>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tables'!$H$4:$H$14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tables'!$I$4:$I$14</c:f>
              <c:numCache>
                <c:formatCode>_ "₹"\ * #,##0_ ;_ "₹"\ * \-#,##0_ ;_ "₹"\ * "-"??_ ;_ @_ </c:formatCode>
                <c:ptCount val="10"/>
                <c:pt idx="0">
                  <c:v>67355600</c:v>
                </c:pt>
                <c:pt idx="1">
                  <c:v>68959600</c:v>
                </c:pt>
                <c:pt idx="2">
                  <c:v>78744700</c:v>
                </c:pt>
                <c:pt idx="3">
                  <c:v>78730000</c:v>
                </c:pt>
                <c:pt idx="4">
                  <c:v>81204000</c:v>
                </c:pt>
                <c:pt idx="5">
                  <c:v>75158400</c:v>
                </c:pt>
                <c:pt idx="6">
                  <c:v>75108600</c:v>
                </c:pt>
                <c:pt idx="7">
                  <c:v>78071900</c:v>
                </c:pt>
                <c:pt idx="8">
                  <c:v>62032900</c:v>
                </c:pt>
                <c:pt idx="9">
                  <c:v>68597000</c:v>
                </c:pt>
              </c:numCache>
            </c:numRef>
          </c:val>
          <c:extLst>
            <c:ext xmlns:c16="http://schemas.microsoft.com/office/drawing/2014/chart" uri="{C3380CC4-5D6E-409C-BE32-E72D297353CC}">
              <c16:uniqueId val="{00000000-9FDD-4DD0-BC14-BC0A466D6E39}"/>
            </c:ext>
          </c:extLst>
        </c:ser>
        <c:dLbls>
          <c:dLblPos val="outEnd"/>
          <c:showLegendKey val="0"/>
          <c:showVal val="1"/>
          <c:showCatName val="0"/>
          <c:showSerName val="0"/>
          <c:showPercent val="0"/>
          <c:showBubbleSize val="0"/>
        </c:dLbls>
        <c:gapWidth val="100"/>
        <c:overlap val="-27"/>
        <c:axId val="146544895"/>
        <c:axId val="146535295"/>
      </c:barChart>
      <c:catAx>
        <c:axId val="1465448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35295"/>
        <c:crosses val="autoZero"/>
        <c:auto val="1"/>
        <c:lblAlgn val="ctr"/>
        <c:lblOffset val="100"/>
        <c:noMultiLvlLbl val="0"/>
      </c:catAx>
      <c:valAx>
        <c:axId val="146535295"/>
        <c:scaling>
          <c:orientation val="minMax"/>
        </c:scaling>
        <c:delete val="1"/>
        <c:axPos val="l"/>
        <c:numFmt formatCode="_ &quot;₹&quot;\ * #,##0_ ;_ &quot;₹&quot;\ * \-#,##0_ ;_ &quot;₹&quot;\ * &quot;-&quot;??_ ;_ @_ " sourceLinked="1"/>
        <c:majorTickMark val="none"/>
        <c:minorTickMark val="none"/>
        <c:tickLblPos val="nextTo"/>
        <c:crossAx val="14654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tables!PivotTable4</c:name>
    <c:fmtId val="8"/>
  </c:pivotSource>
  <c:chart>
    <c:autoTitleDeleted val="1"/>
    <c:pivotFmts>
      <c:pivotFmt>
        <c:idx val="0"/>
        <c:spPr>
          <a:ln w="73025" cap="rnd">
            <a:solidFill>
              <a:schemeClr val="lt1"/>
            </a:solidFill>
            <a:round/>
          </a:ln>
          <a:effectLst>
            <a:outerShdw dist="25400" dir="2700000" algn="tl" rotWithShape="0">
              <a:schemeClr val="accent1"/>
            </a:outerShdw>
          </a:effectLst>
        </c:spPr>
        <c:marker>
          <c:symbol val="square"/>
          <c:size val="8"/>
          <c:spPr>
            <a:noFill/>
            <a:ln w="22225">
              <a:solidFill>
                <a:schemeClr val="accent5">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73025" cap="rnd">
            <a:solidFill>
              <a:schemeClr val="lt1"/>
            </a:solidFill>
            <a:round/>
          </a:ln>
          <a:effectLst>
            <a:outerShdw dist="25400" dir="2700000" algn="tl" rotWithShape="0">
              <a:schemeClr val="accent1"/>
            </a:outerShdw>
          </a:effectLst>
        </c:spPr>
        <c:marker>
          <c:symbol val="square"/>
          <c:size val="8"/>
          <c:spPr>
            <a:noFill/>
            <a:ln w="22225">
              <a:solidFill>
                <a:schemeClr val="accent5">
                  <a:lumMod val="50000"/>
                </a:schemeClr>
              </a:solidFill>
              <a:round/>
            </a:ln>
            <a:effectLst/>
          </c:spPr>
        </c:marker>
      </c:pivotFmt>
    </c:pivotFmts>
    <c:plotArea>
      <c:layout/>
      <c:lineChart>
        <c:grouping val="standard"/>
        <c:varyColors val="0"/>
        <c:ser>
          <c:idx val="0"/>
          <c:order val="0"/>
          <c:tx>
            <c:strRef>
              <c:f>'Pivot tables'!$L$3</c:f>
              <c:strCache>
                <c:ptCount val="1"/>
                <c:pt idx="0">
                  <c:v>Total</c:v>
                </c:pt>
              </c:strCache>
            </c:strRef>
          </c:tx>
          <c:spPr>
            <a:ln w="73025" cap="rnd">
              <a:solidFill>
                <a:schemeClr val="lt1"/>
              </a:solidFill>
              <a:round/>
            </a:ln>
            <a:effectLst>
              <a:outerShdw dist="25400" dir="2700000" algn="tl" rotWithShape="0">
                <a:schemeClr val="accent1"/>
              </a:outerShdw>
            </a:effectLst>
          </c:spPr>
          <c:marker>
            <c:symbol val="square"/>
            <c:size val="8"/>
            <c:spPr>
              <a:noFill/>
              <a:ln w="22225">
                <a:solidFill>
                  <a:schemeClr val="accent5">
                    <a:lumMod val="50000"/>
                  </a:schemeClr>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tables'!$K$4:$K$11</c:f>
              <c:strCache>
                <c:ptCount val="7"/>
                <c:pt idx="0">
                  <c:v>Action Figure</c:v>
                </c:pt>
                <c:pt idx="1">
                  <c:v>Blender</c:v>
                </c:pt>
                <c:pt idx="2">
                  <c:v>Moisturizer</c:v>
                </c:pt>
                <c:pt idx="3">
                  <c:v>Novel</c:v>
                </c:pt>
                <c:pt idx="4">
                  <c:v>Smartphone</c:v>
                </c:pt>
                <c:pt idx="5">
                  <c:v>Sneakers</c:v>
                </c:pt>
                <c:pt idx="6">
                  <c:v>Tent</c:v>
                </c:pt>
              </c:strCache>
            </c:strRef>
          </c:cat>
          <c:val>
            <c:numRef>
              <c:f>'Pivot tables'!$L$4:$L$11</c:f>
              <c:numCache>
                <c:formatCode>General</c:formatCode>
                <c:ptCount val="7"/>
                <c:pt idx="0">
                  <c:v>26183</c:v>
                </c:pt>
                <c:pt idx="1">
                  <c:v>30545</c:v>
                </c:pt>
                <c:pt idx="2">
                  <c:v>29516</c:v>
                </c:pt>
                <c:pt idx="3">
                  <c:v>32112</c:v>
                </c:pt>
                <c:pt idx="4">
                  <c:v>26719</c:v>
                </c:pt>
                <c:pt idx="5">
                  <c:v>27587</c:v>
                </c:pt>
                <c:pt idx="6">
                  <c:v>28046</c:v>
                </c:pt>
              </c:numCache>
            </c:numRef>
          </c:val>
          <c:smooth val="0"/>
          <c:extLst>
            <c:ext xmlns:c16="http://schemas.microsoft.com/office/drawing/2014/chart" uri="{C3380CC4-5D6E-409C-BE32-E72D297353CC}">
              <c16:uniqueId val="{00000000-12D9-4F0E-A10F-F7B1A1111064}"/>
            </c:ext>
          </c:extLst>
        </c:ser>
        <c:dLbls>
          <c:dLblPos val="ctr"/>
          <c:showLegendKey val="0"/>
          <c:showVal val="1"/>
          <c:showCatName val="0"/>
          <c:showSerName val="0"/>
          <c:showPercent val="0"/>
          <c:showBubbleSize val="0"/>
        </c:dLbls>
        <c:dropLines>
          <c:spPr>
            <a:ln w="25400" cap="flat" cmpd="sng" algn="ctr">
              <a:solidFill>
                <a:schemeClr val="accent5">
                  <a:lumMod val="50000"/>
                </a:schemeClr>
              </a:solidFill>
              <a:round/>
            </a:ln>
            <a:effectLst/>
          </c:spPr>
        </c:dropLines>
        <c:marker val="1"/>
        <c:smooth val="0"/>
        <c:axId val="497168527"/>
        <c:axId val="497174287"/>
      </c:lineChart>
      <c:catAx>
        <c:axId val="497168527"/>
        <c:scaling>
          <c:orientation val="minMax"/>
        </c:scaling>
        <c:delete val="0"/>
        <c:axPos val="b"/>
        <c:numFmt formatCode="General" sourceLinked="1"/>
        <c:majorTickMark val="none"/>
        <c:minorTickMark val="none"/>
        <c:tickLblPos val="nextTo"/>
        <c:spPr>
          <a:solidFill>
            <a:schemeClr val="bg1">
              <a:alpha val="91000"/>
            </a:schemeClr>
          </a:solidFill>
          <a:ln w="12700" cap="flat" cmpd="sng" algn="ctr">
            <a:solidFill>
              <a:schemeClr val="lt1"/>
            </a:solidFill>
            <a:round/>
          </a:ln>
          <a:effectLst/>
        </c:spPr>
        <c:txPr>
          <a:bodyPr rot="-60000000" spcFirstLastPara="1" vertOverflow="ellipsis" vert="horz" wrap="square" anchor="ctr" anchorCtr="1"/>
          <a:lstStyle/>
          <a:p>
            <a:pPr>
              <a:defRPr sz="900" b="1" i="0" u="none" strike="noStrike" kern="1200" spc="100" baseline="0">
                <a:solidFill>
                  <a:schemeClr val="tx1"/>
                </a:solidFill>
                <a:latin typeface="+mn-lt"/>
                <a:ea typeface="+mn-ea"/>
                <a:cs typeface="+mn-cs"/>
              </a:defRPr>
            </a:pPr>
            <a:endParaRPr lang="en-US"/>
          </a:p>
        </c:txPr>
        <c:crossAx val="497174287"/>
        <c:crosses val="autoZero"/>
        <c:auto val="1"/>
        <c:lblAlgn val="ctr"/>
        <c:lblOffset val="100"/>
        <c:noMultiLvlLbl val="0"/>
      </c:catAx>
      <c:valAx>
        <c:axId val="497174287"/>
        <c:scaling>
          <c:orientation val="minMax"/>
        </c:scaling>
        <c:delete val="1"/>
        <c:axPos val="l"/>
        <c:numFmt formatCode="General" sourceLinked="1"/>
        <c:majorTickMark val="none"/>
        <c:minorTickMark val="none"/>
        <c:tickLblPos val="nextTo"/>
        <c:crossAx val="497168527"/>
        <c:crosses val="autoZero"/>
        <c:crossBetween val="between"/>
      </c:valAx>
      <c:spPr>
        <a:solidFill>
          <a:schemeClr val="bg1"/>
        </a:solidFill>
        <a:ln>
          <a:solidFill>
            <a:schemeClr val="accent1"/>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tables!PivotTable4</c:name>
    <c:fmtId val="12"/>
  </c:pivotSource>
  <c:chart>
    <c:autoTitleDeleted val="1"/>
    <c:pivotFmts>
      <c:pivotFmt>
        <c:idx val="0"/>
        <c:spPr>
          <a:pattFill prst="ltUpDiag">
            <a:fgClr>
              <a:schemeClr val="accent1"/>
            </a:fgClr>
            <a:bgClr>
              <a:schemeClr val="lt1"/>
            </a:bgClr>
          </a:pattFill>
          <a:ln w="73025" cap="rnd">
            <a:solidFill>
              <a:schemeClr val="lt1"/>
            </a:solidFill>
            <a:round/>
          </a:ln>
          <a:effectLst>
            <a:outerShdw dist="25400" dir="2700000" algn="tl" rotWithShape="0">
              <a:schemeClr val="accent1"/>
            </a:outerShdw>
          </a:effectLst>
        </c:spPr>
        <c:marker>
          <c:symbol val="square"/>
          <c:size val="8"/>
          <c:spPr>
            <a:noFill/>
            <a:ln w="22225">
              <a:solidFill>
                <a:schemeClr val="accent5">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w="73025" cap="rnd">
            <a:solidFill>
              <a:schemeClr val="lt1"/>
            </a:solidFill>
            <a:round/>
          </a:ln>
          <a:effectLst>
            <a:outerShdw dist="25400" dir="2700000" algn="tl" rotWithShape="0">
              <a:schemeClr val="accent1"/>
            </a:outerShdw>
          </a:effectLst>
        </c:spPr>
        <c:marker>
          <c:symbol val="square"/>
          <c:size val="8"/>
          <c:spPr>
            <a:noFill/>
            <a:ln w="22225">
              <a:solidFill>
                <a:schemeClr val="accent5">
                  <a:lumMod val="50000"/>
                </a:schemeClr>
              </a:solidFill>
              <a:round/>
            </a:ln>
            <a:effectLst/>
          </c:spPr>
        </c:marker>
      </c:pivotFmt>
      <c:pivotFmt>
        <c:idx val="2"/>
        <c:spPr>
          <a:pattFill prst="ltUpDiag">
            <a:fgClr>
              <a:schemeClr val="accent1"/>
            </a:fgClr>
            <a:bgClr>
              <a:schemeClr val="lt1"/>
            </a:bgClr>
          </a:pattFill>
          <a:ln w="73025" cap="rnd">
            <a:solidFill>
              <a:schemeClr val="lt1"/>
            </a:solidFill>
            <a:round/>
          </a:ln>
          <a:effectLst>
            <a:outerShdw dist="25400" dir="2700000" algn="tl" rotWithShape="0">
              <a:schemeClr val="accent1"/>
            </a:outerShdw>
          </a:effectLst>
        </c:spPr>
        <c:marker>
          <c:symbol val="square"/>
          <c:size val="8"/>
          <c:spPr>
            <a:noFill/>
            <a:ln w="22225">
              <a:solidFill>
                <a:schemeClr val="accent5">
                  <a:lumMod val="50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73025" cap="rnd">
            <a:solidFill>
              <a:schemeClr val="lt1"/>
            </a:solidFill>
            <a:round/>
          </a:ln>
          <a:effectLst>
            <a:outerShdw dist="25400" dir="2700000" algn="tl" rotWithShape="0">
              <a:schemeClr val="accent1"/>
            </a:outerShdw>
          </a:effectLst>
        </c:spPr>
        <c:marker>
          <c:symbol val="square"/>
          <c:size val="8"/>
          <c:spPr>
            <a:noFill/>
            <a:ln w="22225">
              <a:solidFill>
                <a:schemeClr val="accent5">
                  <a:lumMod val="50000"/>
                </a:schemeClr>
              </a:solidFill>
              <a:round/>
            </a:ln>
            <a:effectLst/>
          </c:spPr>
        </c:marker>
        <c:dLbl>
          <c:idx val="0"/>
          <c:spPr>
            <a:solidFill>
              <a:schemeClr val="accent5">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tables'!$L$3</c:f>
              <c:strCache>
                <c:ptCount val="1"/>
                <c:pt idx="0">
                  <c:v>Total</c:v>
                </c:pt>
              </c:strCache>
            </c:strRef>
          </c:tx>
          <c:spPr>
            <a:ln w="73025" cap="rnd">
              <a:solidFill>
                <a:schemeClr val="lt1"/>
              </a:solidFill>
              <a:round/>
            </a:ln>
            <a:effectLst>
              <a:outerShdw dist="25400" dir="2700000" algn="tl" rotWithShape="0">
                <a:schemeClr val="accent1"/>
              </a:outerShdw>
            </a:effectLst>
          </c:spPr>
          <c:marker>
            <c:symbol val="square"/>
            <c:size val="8"/>
            <c:spPr>
              <a:noFill/>
              <a:ln w="22225">
                <a:solidFill>
                  <a:schemeClr val="accent5">
                    <a:lumMod val="50000"/>
                  </a:schemeClr>
                </a:solidFill>
                <a:round/>
              </a:ln>
              <a:effectLst/>
            </c:spPr>
          </c:marker>
          <c:dLbls>
            <c:spPr>
              <a:solidFill>
                <a:schemeClr val="accent5">
                  <a:lumMod val="5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tables'!$K$4:$K$11</c:f>
              <c:strCache>
                <c:ptCount val="7"/>
                <c:pt idx="0">
                  <c:v>Action Figure</c:v>
                </c:pt>
                <c:pt idx="1">
                  <c:v>Blender</c:v>
                </c:pt>
                <c:pt idx="2">
                  <c:v>Moisturizer</c:v>
                </c:pt>
                <c:pt idx="3">
                  <c:v>Novel</c:v>
                </c:pt>
                <c:pt idx="4">
                  <c:v>Smartphone</c:v>
                </c:pt>
                <c:pt idx="5">
                  <c:v>Sneakers</c:v>
                </c:pt>
                <c:pt idx="6">
                  <c:v>Tent</c:v>
                </c:pt>
              </c:strCache>
            </c:strRef>
          </c:cat>
          <c:val>
            <c:numRef>
              <c:f>'Pivot tables'!$L$4:$L$11</c:f>
              <c:numCache>
                <c:formatCode>General</c:formatCode>
                <c:ptCount val="7"/>
                <c:pt idx="0">
                  <c:v>26183</c:v>
                </c:pt>
                <c:pt idx="1">
                  <c:v>30545</c:v>
                </c:pt>
                <c:pt idx="2">
                  <c:v>29516</c:v>
                </c:pt>
                <c:pt idx="3">
                  <c:v>32112</c:v>
                </c:pt>
                <c:pt idx="4">
                  <c:v>26719</c:v>
                </c:pt>
                <c:pt idx="5">
                  <c:v>27587</c:v>
                </c:pt>
                <c:pt idx="6">
                  <c:v>28046</c:v>
                </c:pt>
              </c:numCache>
            </c:numRef>
          </c:val>
          <c:smooth val="0"/>
          <c:extLst>
            <c:ext xmlns:c16="http://schemas.microsoft.com/office/drawing/2014/chart" uri="{C3380CC4-5D6E-409C-BE32-E72D297353CC}">
              <c16:uniqueId val="{00000000-9DD5-4476-8998-0354E492F125}"/>
            </c:ext>
          </c:extLst>
        </c:ser>
        <c:dLbls>
          <c:dLblPos val="ctr"/>
          <c:showLegendKey val="0"/>
          <c:showVal val="1"/>
          <c:showCatName val="0"/>
          <c:showSerName val="0"/>
          <c:showPercent val="0"/>
          <c:showBubbleSize val="0"/>
        </c:dLbls>
        <c:dropLines>
          <c:spPr>
            <a:ln w="25400" cap="flat" cmpd="sng" algn="ctr">
              <a:solidFill>
                <a:schemeClr val="accent5">
                  <a:lumMod val="50000"/>
                </a:schemeClr>
              </a:solidFill>
              <a:round/>
            </a:ln>
            <a:effectLst/>
          </c:spPr>
        </c:dropLines>
        <c:marker val="1"/>
        <c:smooth val="0"/>
        <c:axId val="497168527"/>
        <c:axId val="497174287"/>
      </c:lineChart>
      <c:catAx>
        <c:axId val="497168527"/>
        <c:scaling>
          <c:orientation val="minMax"/>
        </c:scaling>
        <c:delete val="0"/>
        <c:axPos val="b"/>
        <c:numFmt formatCode="General" sourceLinked="1"/>
        <c:majorTickMark val="none"/>
        <c:minorTickMark val="none"/>
        <c:tickLblPos val="nextTo"/>
        <c:spPr>
          <a:solidFill>
            <a:schemeClr val="bg1">
              <a:alpha val="91000"/>
            </a:schemeClr>
          </a:solidFill>
          <a:ln w="12700" cap="flat" cmpd="sng" algn="ctr">
            <a:solidFill>
              <a:schemeClr val="lt1"/>
            </a:solidFill>
            <a:round/>
          </a:ln>
          <a:effectLst/>
        </c:spPr>
        <c:txPr>
          <a:bodyPr rot="-60000000" spcFirstLastPara="1" vertOverflow="ellipsis" vert="horz" wrap="square" anchor="ctr" anchorCtr="1"/>
          <a:lstStyle/>
          <a:p>
            <a:pPr>
              <a:defRPr sz="900" b="1" i="0" u="none" strike="noStrike" kern="1200" spc="100" baseline="0">
                <a:solidFill>
                  <a:schemeClr val="tx1"/>
                </a:solidFill>
                <a:latin typeface="+mn-lt"/>
                <a:ea typeface="+mn-ea"/>
                <a:cs typeface="+mn-cs"/>
              </a:defRPr>
            </a:pPr>
            <a:endParaRPr lang="en-US"/>
          </a:p>
        </c:txPr>
        <c:crossAx val="497174287"/>
        <c:crosses val="autoZero"/>
        <c:auto val="1"/>
        <c:lblAlgn val="ctr"/>
        <c:lblOffset val="100"/>
        <c:noMultiLvlLbl val="0"/>
      </c:catAx>
      <c:valAx>
        <c:axId val="497174287"/>
        <c:scaling>
          <c:orientation val="minMax"/>
        </c:scaling>
        <c:delete val="1"/>
        <c:axPos val="l"/>
        <c:numFmt formatCode="General" sourceLinked="1"/>
        <c:majorTickMark val="none"/>
        <c:minorTickMark val="none"/>
        <c:tickLblPos val="nextTo"/>
        <c:crossAx val="497168527"/>
        <c:crosses val="autoZero"/>
        <c:crossBetween val="between"/>
      </c:valAx>
      <c:spPr>
        <a:solidFill>
          <a:schemeClr val="bg1"/>
        </a:soli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tables!PivotTable1</c:name>
    <c:fmtId val="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222222222222222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5825027685492801"/>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w="19050">
            <a:solidFill>
              <a:schemeClr val="lt1"/>
            </a:solidFill>
          </a:ln>
          <a:effectLst/>
        </c:spPr>
        <c:dLbl>
          <c:idx val="0"/>
          <c:layout>
            <c:manualLayout>
              <c:x val="-0.16651908337039265"/>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3"/>
          </a:solidFill>
          <a:ln w="19050">
            <a:solidFill>
              <a:schemeClr val="lt1"/>
            </a:solidFill>
          </a:ln>
          <a:effectLst/>
        </c:spPr>
        <c:dLbl>
          <c:idx val="0"/>
          <c:layout>
            <c:manualLayout>
              <c:x val="-0.16927825882229838"/>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222222222222222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5825027685492801"/>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dLbl>
          <c:idx val="0"/>
          <c:layout>
            <c:manualLayout>
              <c:x val="-0.16927825882229838"/>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6651908337039265"/>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12222222222222222"/>
              <c:y val="-8.33333333333333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dLbl>
          <c:idx val="0"/>
          <c:layout>
            <c:manualLayout>
              <c:x val="0.15825027685492801"/>
              <c:y val="2.777777777777777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dLbl>
          <c:idx val="0"/>
          <c:layout>
            <c:manualLayout>
              <c:x val="-0.16927825882229838"/>
              <c:y val="1.851851851851851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dLbl>
          <c:idx val="0"/>
          <c:layout>
            <c:manualLayout>
              <c:x val="-0.16651908337039265"/>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 tables'!$B$3</c:f>
              <c:strCache>
                <c:ptCount val="1"/>
                <c:pt idx="0">
                  <c:v>Total</c:v>
                </c:pt>
              </c:strCache>
            </c:strRef>
          </c:tx>
          <c:explosion val="1"/>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112-4D11-AD3F-2D33AAFB310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112-4D11-AD3F-2D33AAFB310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7112-4D11-AD3F-2D33AAFB310B}"/>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7112-4D11-AD3F-2D33AAFB310B}"/>
              </c:ext>
            </c:extLst>
          </c:dPt>
          <c:dLbls>
            <c:dLbl>
              <c:idx val="0"/>
              <c:layout>
                <c:manualLayout>
                  <c:x val="0.12222222222222222"/>
                  <c:y val="-8.33333333333333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112-4D11-AD3F-2D33AAFB310B}"/>
                </c:ext>
              </c:extLst>
            </c:dLbl>
            <c:dLbl>
              <c:idx val="1"/>
              <c:layout>
                <c:manualLayout>
                  <c:x val="0.15825027685492801"/>
                  <c:y val="2.7777777777777776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112-4D11-AD3F-2D33AAFB310B}"/>
                </c:ext>
              </c:extLst>
            </c:dLbl>
            <c:dLbl>
              <c:idx val="2"/>
              <c:layout>
                <c:manualLayout>
                  <c:x val="-0.16927825882229838"/>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112-4D11-AD3F-2D33AAFB310B}"/>
                </c:ext>
              </c:extLst>
            </c:dLbl>
            <c:dLbl>
              <c:idx val="3"/>
              <c:layout>
                <c:manualLayout>
                  <c:x val="-0.16651908337039265"/>
                  <c:y val="-9.722222222222222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112-4D11-AD3F-2D33AAFB310B}"/>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bg1">
                      <a:lumMod val="50000"/>
                    </a:schemeClr>
                  </a:solidFill>
                  <a:round/>
                </a:ln>
                <a:effectLst/>
              </c:spPr>
            </c:leaderLines>
            <c:extLst>
              <c:ext xmlns:c15="http://schemas.microsoft.com/office/drawing/2012/chart" uri="{CE6537A1-D6FC-4f65-9D91-7224C49458BB}"/>
            </c:extLst>
          </c:dLbls>
          <c:cat>
            <c:strRef>
              <c:f>'Pivot tables'!$A$4:$A$8</c:f>
              <c:strCache>
                <c:ptCount val="4"/>
                <c:pt idx="0">
                  <c:v>East</c:v>
                </c:pt>
                <c:pt idx="1">
                  <c:v>North</c:v>
                </c:pt>
                <c:pt idx="2">
                  <c:v>South</c:v>
                </c:pt>
                <c:pt idx="3">
                  <c:v>West</c:v>
                </c:pt>
              </c:strCache>
            </c:strRef>
          </c:cat>
          <c:val>
            <c:numRef>
              <c:f>'Pivot tables'!$B$4:$B$8</c:f>
              <c:numCache>
                <c:formatCode>_ "₹"\ * #,##0_ ;_ "₹"\ * \-#,##0_ ;_ "₹"\ * "-"??_ ;_ @_ </c:formatCode>
                <c:ptCount val="4"/>
                <c:pt idx="0">
                  <c:v>183932000</c:v>
                </c:pt>
                <c:pt idx="1">
                  <c:v>184419800</c:v>
                </c:pt>
                <c:pt idx="2">
                  <c:v>187418400</c:v>
                </c:pt>
                <c:pt idx="3">
                  <c:v>178192500</c:v>
                </c:pt>
              </c:numCache>
            </c:numRef>
          </c:val>
          <c:extLst>
            <c:ext xmlns:c16="http://schemas.microsoft.com/office/drawing/2014/chart" uri="{C3380CC4-5D6E-409C-BE32-E72D297353CC}">
              <c16:uniqueId val="{00000008-7112-4D11-AD3F-2D33AAFB310B}"/>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tables!PivotTable2</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0"/>
              <c:y val="0"/>
            </c:manualLayout>
          </c:layout>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933721699421718"/>
          <c:y val="0.16708347777282556"/>
          <c:w val="0.73074224726648518"/>
          <c:h val="0.77736111111111106"/>
        </c:manualLayout>
      </c:layout>
      <c:barChart>
        <c:barDir val="bar"/>
        <c:grouping val="clustered"/>
        <c:varyColors val="0"/>
        <c:ser>
          <c:idx val="0"/>
          <c:order val="0"/>
          <c:tx>
            <c:strRef>
              <c:f>'Pivot tables'!$F$3</c:f>
              <c:strCache>
                <c:ptCount val="1"/>
                <c:pt idx="0">
                  <c:v>Total</c:v>
                </c:pt>
              </c:strCache>
            </c:strRef>
          </c:tx>
          <c:spPr>
            <a:solidFill>
              <a:schemeClr val="accent1"/>
            </a:solidFill>
            <a:ln>
              <a:noFill/>
            </a:ln>
            <a:effectLst/>
          </c:spPr>
          <c:invertIfNegative val="0"/>
          <c:dPt>
            <c:idx val="4"/>
            <c:invertIfNegative val="0"/>
            <c:bubble3D val="0"/>
            <c:spPr>
              <a:solidFill>
                <a:schemeClr val="accent1"/>
              </a:solidFill>
              <a:ln>
                <a:noFill/>
              </a:ln>
              <a:effectLst/>
            </c:spPr>
            <c:extLst>
              <c:ext xmlns:c16="http://schemas.microsoft.com/office/drawing/2014/chart" uri="{C3380CC4-5D6E-409C-BE32-E72D297353CC}">
                <c16:uniqueId val="{00000000-B95D-4990-9B6A-66E03AF6829B}"/>
              </c:ext>
            </c:extLst>
          </c:dPt>
          <c:dLbls>
            <c:dLbl>
              <c:idx val="4"/>
              <c:layout>
                <c:manualLayout>
                  <c:x val="0"/>
                  <c:y val="0"/>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B95D-4990-9B6A-66E03AF6829B}"/>
                </c:ext>
              </c:extLst>
            </c:dLbl>
            <c:numFmt formatCode="&quot;₹&quot;\ #,##0.00"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tables'!$E$4:$E$11</c:f>
              <c:strCache>
                <c:ptCount val="7"/>
                <c:pt idx="0">
                  <c:v>Action Figure</c:v>
                </c:pt>
                <c:pt idx="1">
                  <c:v>Blender</c:v>
                </c:pt>
                <c:pt idx="2">
                  <c:v>Moisturizer</c:v>
                </c:pt>
                <c:pt idx="3">
                  <c:v>Novel</c:v>
                </c:pt>
                <c:pt idx="4">
                  <c:v>Smartphone</c:v>
                </c:pt>
                <c:pt idx="5">
                  <c:v>Sneakers</c:v>
                </c:pt>
                <c:pt idx="6">
                  <c:v>Tent</c:v>
                </c:pt>
              </c:strCache>
            </c:strRef>
          </c:cat>
          <c:val>
            <c:numRef>
              <c:f>'Pivot tables'!$F$4:$F$11</c:f>
              <c:numCache>
                <c:formatCode>General</c:formatCode>
                <c:ptCount val="7"/>
                <c:pt idx="0">
                  <c:v>31419600</c:v>
                </c:pt>
                <c:pt idx="1">
                  <c:v>106907500</c:v>
                </c:pt>
                <c:pt idx="2">
                  <c:v>17709600</c:v>
                </c:pt>
                <c:pt idx="3">
                  <c:v>32112000</c:v>
                </c:pt>
                <c:pt idx="4">
                  <c:v>267190000</c:v>
                </c:pt>
                <c:pt idx="5">
                  <c:v>110348000</c:v>
                </c:pt>
                <c:pt idx="6">
                  <c:v>168276000</c:v>
                </c:pt>
              </c:numCache>
            </c:numRef>
          </c:val>
          <c:extLst>
            <c:ext xmlns:c16="http://schemas.microsoft.com/office/drawing/2014/chart" uri="{C3380CC4-5D6E-409C-BE32-E72D297353CC}">
              <c16:uniqueId val="{00000001-B95D-4990-9B6A-66E03AF6829B}"/>
            </c:ext>
          </c:extLst>
        </c:ser>
        <c:dLbls>
          <c:dLblPos val="outEnd"/>
          <c:showLegendKey val="0"/>
          <c:showVal val="1"/>
          <c:showCatName val="0"/>
          <c:showSerName val="0"/>
          <c:showPercent val="0"/>
          <c:showBubbleSize val="0"/>
        </c:dLbls>
        <c:gapWidth val="35"/>
        <c:axId val="436172735"/>
        <c:axId val="436173215"/>
      </c:barChart>
      <c:catAx>
        <c:axId val="43617273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6173215"/>
        <c:crosses val="autoZero"/>
        <c:auto val="1"/>
        <c:lblAlgn val="ctr"/>
        <c:lblOffset val="100"/>
        <c:noMultiLvlLbl val="0"/>
      </c:catAx>
      <c:valAx>
        <c:axId val="436173215"/>
        <c:scaling>
          <c:orientation val="minMax"/>
        </c:scaling>
        <c:delete val="1"/>
        <c:axPos val="b"/>
        <c:numFmt formatCode="General" sourceLinked="1"/>
        <c:majorTickMark val="none"/>
        <c:minorTickMark val="none"/>
        <c:tickLblPos val="nextTo"/>
        <c:crossAx val="43617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Dashboard.xlsx]Pivot tables!PivotTable3</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dLbl>
          <c:idx val="0"/>
          <c:layout>
            <c:manualLayout>
              <c:x val="0"/>
              <c:y val="-7.40740740740740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dLbl>
          <c:idx val="0"/>
          <c:layout>
            <c:manualLayout>
              <c:x val="0"/>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0"/>
              <c:y val="-3.70370370370370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dLbl>
          <c:idx val="0"/>
          <c:layout>
            <c:manualLayout>
              <c:x val="2.777777777777676E-3"/>
              <c:y val="-5.55555555555555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2.5462668816039986E-17"/>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dLbl>
          <c:idx val="0"/>
          <c:layout>
            <c:manualLayout>
              <c:x val="-1.2731334408019993E-17"/>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layout>
            <c:manualLayout>
              <c:x val="-2.7777777777777779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dLbl>
          <c:idx val="0"/>
          <c:layout>
            <c:manualLayout>
              <c:x val="-1.2731334408019993E-17"/>
              <c:y val="-7.40740740740740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dLbl>
          <c:idx val="0"/>
          <c:layout>
            <c:manualLayout>
              <c:x val="-2.5462668816039986E-17"/>
              <c:y val="-8.7962962962962979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dLbl>
          <c:idx val="0"/>
          <c:layout>
            <c:manualLayout>
              <c:x val="-2.7777777777777779E-3"/>
              <c:y val="-6.018518518518518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dLbl>
          <c:idx val="0"/>
          <c:layout>
            <c:manualLayout>
              <c:x val="2.777777777777676E-3"/>
              <c:y val="-5.555555555555558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dLbl>
          <c:idx val="0"/>
          <c:layout>
            <c:manualLayout>
              <c:x val="0"/>
              <c:y val="-3.70370370370370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dLbl>
          <c:idx val="0"/>
          <c:layout>
            <c:manualLayout>
              <c:x val="0"/>
              <c:y val="-2.3148148148148147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dLbl>
          <c:idx val="0"/>
          <c:layout>
            <c:manualLayout>
              <c:x val="0"/>
              <c:y val="-7.4074074074074056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7"/>
        <c:spPr>
          <a:solidFill>
            <a:schemeClr val="accent1"/>
          </a:solidFill>
          <a:ln>
            <a:noFill/>
          </a:ln>
          <a:effectLst/>
        </c:spPr>
        <c:dLbl>
          <c:idx val="0"/>
          <c:layout>
            <c:manualLayout>
              <c:x val="-1.2731334408019993E-17"/>
              <c:y val="-7.40740740740740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8"/>
        <c:spPr>
          <a:solidFill>
            <a:schemeClr val="accent1"/>
          </a:solidFill>
          <a:ln>
            <a:noFill/>
          </a:ln>
          <a:effectLst/>
        </c:spPr>
        <c:dLbl>
          <c:idx val="0"/>
          <c:layout>
            <c:manualLayout>
              <c:x val="-2.5462668816039986E-17"/>
              <c:y val="-8.796296296296297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19"/>
        <c:spPr>
          <a:solidFill>
            <a:schemeClr val="accent1"/>
          </a:solidFill>
          <a:ln>
            <a:noFill/>
          </a:ln>
          <a:effectLst/>
        </c:spPr>
        <c:dLbl>
          <c:idx val="0"/>
          <c:layout>
            <c:manualLayout>
              <c:x val="-2.7777777777778269E-3"/>
              <c:y val="-5.4335930759520111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layout>
                <c:manualLayout>
                  <c:w val="0.15510149572649573"/>
                  <c:h val="0.10371995023113459"/>
                </c:manualLayout>
              </c15:layout>
            </c:ext>
          </c:extLst>
        </c:dLbl>
      </c:pivotFmt>
      <c:pivotFmt>
        <c:idx val="20"/>
        <c:spPr>
          <a:solidFill>
            <a:schemeClr val="accent1"/>
          </a:solidFill>
          <a:ln>
            <a:noFill/>
          </a:ln>
          <a:effectLst/>
        </c:spPr>
        <c:dLbl>
          <c:idx val="0"/>
          <c:layout>
            <c:manualLayout>
              <c:x val="2.777777777777676E-3"/>
              <c:y val="-5.555555555555558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1"/>
        <c:spPr>
          <a:solidFill>
            <a:schemeClr val="accent1"/>
          </a:solidFill>
          <a:ln>
            <a:noFill/>
          </a:ln>
          <a:effectLst/>
        </c:spPr>
        <c:dLbl>
          <c:idx val="0"/>
          <c:layout>
            <c:manualLayout>
              <c:x val="0"/>
              <c:y val="-6.0594214592433894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2"/>
        <c:spPr>
          <a:solidFill>
            <a:schemeClr val="accent1"/>
          </a:solidFill>
          <a:ln>
            <a:noFill/>
          </a:ln>
          <a:effectLst/>
        </c:spPr>
        <c:dLbl>
          <c:idx val="0"/>
          <c:layout>
            <c:manualLayout>
              <c:x val="0"/>
              <c:y val="-2.3148148148148147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23"/>
        <c:spPr>
          <a:solidFill>
            <a:schemeClr val="accent1"/>
          </a:solidFill>
          <a:ln>
            <a:noFill/>
          </a:ln>
          <a:effectLst/>
        </c:spPr>
        <c:dLbl>
          <c:idx val="0"/>
          <c:layout>
            <c:manualLayout>
              <c:x val="0"/>
              <c:y val="-7.4074074074074056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s>
    <c:plotArea>
      <c:layout>
        <c:manualLayout>
          <c:layoutTarget val="inner"/>
          <c:xMode val="edge"/>
          <c:yMode val="edge"/>
          <c:x val="2.938034188034188E-2"/>
          <c:y val="0.10380622837370242"/>
          <c:w val="0.94123931623931623"/>
          <c:h val="0.76240906737868841"/>
        </c:manualLayout>
      </c:layout>
      <c:barChart>
        <c:barDir val="col"/>
        <c:grouping val="clustered"/>
        <c:varyColors val="0"/>
        <c:ser>
          <c:idx val="0"/>
          <c:order val="0"/>
          <c:tx>
            <c:strRef>
              <c:f>'Pivot tables'!$I$3</c:f>
              <c:strCache>
                <c:ptCount val="1"/>
                <c:pt idx="0">
                  <c:v>Total</c:v>
                </c:pt>
              </c:strCache>
            </c:strRef>
          </c:tx>
          <c:spPr>
            <a:solidFill>
              <a:schemeClr val="accent1"/>
            </a:solidFill>
            <a:ln>
              <a:noFill/>
            </a:ln>
            <a:effectLst/>
          </c:spPr>
          <c:invertIfNegative val="0"/>
          <c:dPt>
            <c:idx val="1"/>
            <c:invertIfNegative val="0"/>
            <c:bubble3D val="0"/>
            <c:spPr>
              <a:solidFill>
                <a:schemeClr val="accent1"/>
              </a:solidFill>
              <a:ln>
                <a:noFill/>
              </a:ln>
              <a:effectLst/>
            </c:spPr>
            <c:extLst>
              <c:ext xmlns:c16="http://schemas.microsoft.com/office/drawing/2014/chart" uri="{C3380CC4-5D6E-409C-BE32-E72D297353CC}">
                <c16:uniqueId val="{00000000-7FE2-4F62-B9E9-EC37ED0AE472}"/>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1-7FE2-4F62-B9E9-EC37ED0AE472}"/>
              </c:ext>
            </c:extLst>
          </c:dPt>
          <c:dPt>
            <c:idx val="4"/>
            <c:invertIfNegative val="0"/>
            <c:bubble3D val="0"/>
            <c:spPr>
              <a:solidFill>
                <a:schemeClr val="accent1"/>
              </a:solidFill>
              <a:ln>
                <a:noFill/>
              </a:ln>
              <a:effectLst/>
            </c:spPr>
            <c:extLst>
              <c:ext xmlns:c16="http://schemas.microsoft.com/office/drawing/2014/chart" uri="{C3380CC4-5D6E-409C-BE32-E72D297353CC}">
                <c16:uniqueId val="{00000002-7FE2-4F62-B9E9-EC37ED0AE472}"/>
              </c:ext>
            </c:extLst>
          </c:dPt>
          <c:dPt>
            <c:idx val="5"/>
            <c:invertIfNegative val="0"/>
            <c:bubble3D val="0"/>
            <c:spPr>
              <a:solidFill>
                <a:schemeClr val="accent1"/>
              </a:solidFill>
              <a:ln>
                <a:noFill/>
              </a:ln>
              <a:effectLst/>
            </c:spPr>
            <c:extLst>
              <c:ext xmlns:c16="http://schemas.microsoft.com/office/drawing/2014/chart" uri="{C3380CC4-5D6E-409C-BE32-E72D297353CC}">
                <c16:uniqueId val="{00000003-7FE2-4F62-B9E9-EC37ED0AE472}"/>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4-7FE2-4F62-B9E9-EC37ED0AE472}"/>
              </c:ext>
            </c:extLst>
          </c:dPt>
          <c:dPt>
            <c:idx val="8"/>
            <c:invertIfNegative val="0"/>
            <c:bubble3D val="0"/>
            <c:spPr>
              <a:solidFill>
                <a:schemeClr val="accent1"/>
              </a:solidFill>
              <a:ln>
                <a:noFill/>
              </a:ln>
              <a:effectLst/>
            </c:spPr>
            <c:extLst>
              <c:ext xmlns:c16="http://schemas.microsoft.com/office/drawing/2014/chart" uri="{C3380CC4-5D6E-409C-BE32-E72D297353CC}">
                <c16:uniqueId val="{00000005-7FE2-4F62-B9E9-EC37ED0AE472}"/>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6-7FE2-4F62-B9E9-EC37ED0AE472}"/>
              </c:ext>
            </c:extLst>
          </c:dPt>
          <c:dLbls>
            <c:dLbl>
              <c:idx val="1"/>
              <c:layout>
                <c:manualLayout>
                  <c:x val="-1.2731334408019993E-17"/>
                  <c:y val="-7.40740740740740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FE2-4F62-B9E9-EC37ED0AE472}"/>
                </c:ext>
              </c:extLst>
            </c:dLbl>
            <c:dLbl>
              <c:idx val="2"/>
              <c:layout>
                <c:manualLayout>
                  <c:x val="-2.5462668816039986E-17"/>
                  <c:y val="-8.7962962962962979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7FE2-4F62-B9E9-EC37ED0AE472}"/>
                </c:ext>
              </c:extLst>
            </c:dLbl>
            <c:dLbl>
              <c:idx val="4"/>
              <c:layout>
                <c:manualLayout>
                  <c:x val="-2.7777777777778269E-3"/>
                  <c:y val="-5.4335930759520111E-2"/>
                </c:manualLayout>
              </c:layout>
              <c:dLblPos val="outEnd"/>
              <c:showLegendKey val="0"/>
              <c:showVal val="1"/>
              <c:showCatName val="0"/>
              <c:showSerName val="0"/>
              <c:showPercent val="0"/>
              <c:showBubbleSize val="0"/>
              <c:extLst>
                <c:ext xmlns:c15="http://schemas.microsoft.com/office/drawing/2012/chart" uri="{CE6537A1-D6FC-4f65-9D91-7224C49458BB}">
                  <c15:layout>
                    <c:manualLayout>
                      <c:w val="0.15510149572649573"/>
                      <c:h val="0.10371995023113459"/>
                    </c:manualLayout>
                  </c15:layout>
                </c:ext>
                <c:ext xmlns:c16="http://schemas.microsoft.com/office/drawing/2014/chart" uri="{C3380CC4-5D6E-409C-BE32-E72D297353CC}">
                  <c16:uniqueId val="{00000002-7FE2-4F62-B9E9-EC37ED0AE472}"/>
                </c:ext>
              </c:extLst>
            </c:dLbl>
            <c:dLbl>
              <c:idx val="5"/>
              <c:layout>
                <c:manualLayout>
                  <c:x val="2.777777777777676E-3"/>
                  <c:y val="-5.555555555555558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7FE2-4F62-B9E9-EC37ED0AE472}"/>
                </c:ext>
              </c:extLst>
            </c:dLbl>
            <c:dLbl>
              <c:idx val="7"/>
              <c:layout>
                <c:manualLayout>
                  <c:x val="0"/>
                  <c:y val="-6.0594214592433894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FE2-4F62-B9E9-EC37ED0AE472}"/>
                </c:ext>
              </c:extLst>
            </c:dLbl>
            <c:dLbl>
              <c:idx val="8"/>
              <c:layout>
                <c:manualLayout>
                  <c:x val="0"/>
                  <c:y val="-2.3148148148148147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FE2-4F62-B9E9-EC37ED0AE472}"/>
                </c:ext>
              </c:extLst>
            </c:dLbl>
            <c:dLbl>
              <c:idx val="9"/>
              <c:layout>
                <c:manualLayout>
                  <c:x val="0"/>
                  <c:y val="-7.4074074074074056E-2"/>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FE2-4F62-B9E9-EC37ED0AE472}"/>
                </c:ext>
              </c:extLst>
            </c:dLbl>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cap="flat" cmpd="sng" algn="ctr">
                      <a:solidFill>
                        <a:schemeClr val="tx1">
                          <a:lumMod val="35000"/>
                          <a:lumOff val="65000"/>
                        </a:schemeClr>
                      </a:solidFill>
                      <a:round/>
                    </a:ln>
                    <a:effectLst/>
                  </c:spPr>
                </c15:leaderLines>
              </c:ext>
            </c:extLst>
          </c:dLbls>
          <c:cat>
            <c:strRef>
              <c:f>'Pivot tables'!$H$4:$H$14</c:f>
              <c:strCache>
                <c:ptCount val="10"/>
                <c:pt idx="0">
                  <c:v>Andrew</c:v>
                </c:pt>
                <c:pt idx="1">
                  <c:v>Anna</c:v>
                </c:pt>
                <c:pt idx="2">
                  <c:v>Cameron</c:v>
                </c:pt>
                <c:pt idx="3">
                  <c:v>Carolyn</c:v>
                </c:pt>
                <c:pt idx="4">
                  <c:v>Connor</c:v>
                </c:pt>
                <c:pt idx="5">
                  <c:v>Ella</c:v>
                </c:pt>
                <c:pt idx="6">
                  <c:v>Grace</c:v>
                </c:pt>
                <c:pt idx="7">
                  <c:v>Megan</c:v>
                </c:pt>
                <c:pt idx="8">
                  <c:v>Nicholas</c:v>
                </c:pt>
                <c:pt idx="9">
                  <c:v>Virginia</c:v>
                </c:pt>
              </c:strCache>
            </c:strRef>
          </c:cat>
          <c:val>
            <c:numRef>
              <c:f>'Pivot tables'!$I$4:$I$14</c:f>
              <c:numCache>
                <c:formatCode>_ "₹"\ * #,##0_ ;_ "₹"\ * \-#,##0_ ;_ "₹"\ * "-"??_ ;_ @_ </c:formatCode>
                <c:ptCount val="10"/>
                <c:pt idx="0">
                  <c:v>67355600</c:v>
                </c:pt>
                <c:pt idx="1">
                  <c:v>68959600</c:v>
                </c:pt>
                <c:pt idx="2">
                  <c:v>78744700</c:v>
                </c:pt>
                <c:pt idx="3">
                  <c:v>78730000</c:v>
                </c:pt>
                <c:pt idx="4">
                  <c:v>81204000</c:v>
                </c:pt>
                <c:pt idx="5">
                  <c:v>75158400</c:v>
                </c:pt>
                <c:pt idx="6">
                  <c:v>75108600</c:v>
                </c:pt>
                <c:pt idx="7">
                  <c:v>78071900</c:v>
                </c:pt>
                <c:pt idx="8">
                  <c:v>62032900</c:v>
                </c:pt>
                <c:pt idx="9">
                  <c:v>68597000</c:v>
                </c:pt>
              </c:numCache>
            </c:numRef>
          </c:val>
          <c:extLst>
            <c:ext xmlns:c16="http://schemas.microsoft.com/office/drawing/2014/chart" uri="{C3380CC4-5D6E-409C-BE32-E72D297353CC}">
              <c16:uniqueId val="{00000007-7FE2-4F62-B9E9-EC37ED0AE472}"/>
            </c:ext>
          </c:extLst>
        </c:ser>
        <c:dLbls>
          <c:dLblPos val="outEnd"/>
          <c:showLegendKey val="0"/>
          <c:showVal val="1"/>
          <c:showCatName val="0"/>
          <c:showSerName val="0"/>
          <c:showPercent val="0"/>
          <c:showBubbleSize val="0"/>
        </c:dLbls>
        <c:gapWidth val="100"/>
        <c:overlap val="-27"/>
        <c:axId val="146544895"/>
        <c:axId val="146535295"/>
      </c:barChart>
      <c:catAx>
        <c:axId val="146544895"/>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46535295"/>
        <c:crosses val="autoZero"/>
        <c:auto val="1"/>
        <c:lblAlgn val="ctr"/>
        <c:lblOffset val="100"/>
        <c:noMultiLvlLbl val="0"/>
      </c:catAx>
      <c:valAx>
        <c:axId val="146535295"/>
        <c:scaling>
          <c:orientation val="minMax"/>
        </c:scaling>
        <c:delete val="1"/>
        <c:axPos val="l"/>
        <c:numFmt formatCode="_ &quot;₹&quot;\ * #,##0_ ;_ &quot;₹&quot;\ * \-#,##0_ ;_ &quot;₹&quot;\ * &quot;-&quot;??_ ;_ @_ " sourceLinked="1"/>
        <c:majorTickMark val="none"/>
        <c:minorTickMark val="none"/>
        <c:tickLblPos val="nextTo"/>
        <c:crossAx val="146544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ustomXml" Target="../ink/ink4.xml"/><Relationship Id="rId3" Type="http://schemas.openxmlformats.org/officeDocument/2006/relationships/image" Target="../media/image1.png"/><Relationship Id="rId7" Type="http://schemas.openxmlformats.org/officeDocument/2006/relationships/image" Target="../media/image3.png"/><Relationship Id="rId12" Type="http://schemas.openxmlformats.org/officeDocument/2006/relationships/chart" Target="../charts/chart4.xml"/><Relationship Id="rId2" Type="http://schemas.openxmlformats.org/officeDocument/2006/relationships/customXml" Target="../ink/ink1.xml"/><Relationship Id="rId1" Type="http://schemas.openxmlformats.org/officeDocument/2006/relationships/chart" Target="../charts/chart1.xml"/><Relationship Id="rId6" Type="http://schemas.openxmlformats.org/officeDocument/2006/relationships/customXml" Target="../ink/ink3.xml"/><Relationship Id="rId11" Type="http://schemas.openxmlformats.org/officeDocument/2006/relationships/chart" Target="../charts/chart3.xml"/><Relationship Id="rId5" Type="http://schemas.openxmlformats.org/officeDocument/2006/relationships/image" Target="../media/image2.png"/><Relationship Id="rId10" Type="http://schemas.openxmlformats.org/officeDocument/2006/relationships/chart" Target="../charts/chart2.xml"/><Relationship Id="rId4" Type="http://schemas.openxmlformats.org/officeDocument/2006/relationships/customXml" Target="../ink/ink2.xml"/><Relationship Id="rId9"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chart" Target="../charts/chart7.xml"/><Relationship Id="rId7" Type="http://schemas.openxmlformats.org/officeDocument/2006/relationships/image" Target="../media/image7.png"/><Relationship Id="rId12" Type="http://schemas.openxmlformats.org/officeDocument/2006/relationships/image" Target="../media/image12.svg"/><Relationship Id="rId2" Type="http://schemas.openxmlformats.org/officeDocument/2006/relationships/chart" Target="../charts/chart6.xml"/><Relationship Id="rId1" Type="http://schemas.openxmlformats.org/officeDocument/2006/relationships/chart" Target="../charts/chart5.xml"/><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chart" Target="../charts/chart8.xml"/><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0</xdr:col>
      <xdr:colOff>716280</xdr:colOff>
      <xdr:row>27</xdr:row>
      <xdr:rowOff>49530</xdr:rowOff>
    </xdr:from>
    <xdr:to>
      <xdr:col>6</xdr:col>
      <xdr:colOff>91440</xdr:colOff>
      <xdr:row>42</xdr:row>
      <xdr:rowOff>49530</xdr:rowOff>
    </xdr:to>
    <xdr:graphicFrame macro="">
      <xdr:nvGraphicFramePr>
        <xdr:cNvPr id="2" name="Chart 1">
          <a:extLst>
            <a:ext uri="{FF2B5EF4-FFF2-40B4-BE49-F238E27FC236}">
              <a16:creationId xmlns:a16="http://schemas.microsoft.com/office/drawing/2014/main" id="{96A4A863-144B-BA12-9BB9-6A174AB4D0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639900</xdr:colOff>
      <xdr:row>24</xdr:row>
      <xdr:rowOff>152280</xdr:rowOff>
    </xdr:from>
    <xdr:to>
      <xdr:col>4</xdr:col>
      <xdr:colOff>640260</xdr:colOff>
      <xdr:row>24</xdr:row>
      <xdr:rowOff>152640</xdr:rowOff>
    </xdr:to>
    <mc:AlternateContent xmlns:mc="http://schemas.openxmlformats.org/markup-compatibility/2006" xmlns:xdr14="http://schemas.microsoft.com/office/excel/2010/spreadsheetDrawing">
      <mc:Choice Requires="xdr14">
        <xdr:contentPart xmlns:r="http://schemas.openxmlformats.org/officeDocument/2006/relationships" r:id="rId2">
          <xdr14:nvContentPartPr>
            <xdr14:cNvPr id="3" name="Ink 2">
              <a:extLst>
                <a:ext uri="{FF2B5EF4-FFF2-40B4-BE49-F238E27FC236}">
                  <a16:creationId xmlns:a16="http://schemas.microsoft.com/office/drawing/2014/main" id="{A3B25F82-3296-A43A-F68D-904370F8280A}"/>
                </a:ext>
              </a:extLst>
            </xdr14:cNvPr>
            <xdr14:cNvContentPartPr/>
          </xdr14:nvContentPartPr>
          <xdr14:nvPr macro=""/>
          <xdr14:xfrm>
            <a:off x="3863160" y="4541400"/>
            <a:ext cx="360" cy="360"/>
          </xdr14:xfrm>
        </xdr:contentPart>
      </mc:Choice>
      <mc:Fallback xmlns="">
        <xdr:pic>
          <xdr:nvPicPr>
            <xdr:cNvPr id="3" name="Ink 2">
              <a:extLst>
                <a:ext uri="{FF2B5EF4-FFF2-40B4-BE49-F238E27FC236}">
                  <a16:creationId xmlns:a16="http://schemas.microsoft.com/office/drawing/2014/main" id="{A3B25F82-3296-A43A-F68D-904370F8280A}"/>
                </a:ext>
              </a:extLst>
            </xdr:cNvPr>
            <xdr:cNvPicPr/>
          </xdr:nvPicPr>
          <xdr:blipFill>
            <a:blip xmlns:r="http://schemas.openxmlformats.org/officeDocument/2006/relationships" r:embed="rId3"/>
            <a:stretch>
              <a:fillRect/>
            </a:stretch>
          </xdr:blipFill>
          <xdr:spPr>
            <a:xfrm>
              <a:off x="3857040" y="4535280"/>
              <a:ext cx="12600" cy="12600"/>
            </a:xfrm>
            <a:prstGeom prst="rect">
              <a:avLst/>
            </a:prstGeom>
          </xdr:spPr>
        </xdr:pic>
      </mc:Fallback>
    </mc:AlternateContent>
    <xdr:clientData/>
  </xdr:twoCellAnchor>
  <xdr:twoCellAnchor editAs="oneCell">
    <xdr:from>
      <xdr:col>0</xdr:col>
      <xdr:colOff>0</xdr:colOff>
      <xdr:row>19</xdr:row>
      <xdr:rowOff>7500</xdr:rowOff>
    </xdr:from>
    <xdr:to>
      <xdr:col>3</xdr:col>
      <xdr:colOff>31020</xdr:colOff>
      <xdr:row>24</xdr:row>
      <xdr:rowOff>137100</xdr:rowOff>
    </xdr:to>
    <mc:AlternateContent xmlns:mc="http://schemas.openxmlformats.org/markup-compatibility/2006" xmlns:xdr14="http://schemas.microsoft.com/office/excel/2010/spreadsheetDrawing">
      <mc:Choice Requires="xdr14">
        <xdr:contentPart xmlns:r="http://schemas.openxmlformats.org/officeDocument/2006/relationships" r:id="rId4">
          <xdr14:nvContentPartPr>
            <xdr14:cNvPr id="31" name="Ink 30">
              <a:extLst>
                <a:ext uri="{FF2B5EF4-FFF2-40B4-BE49-F238E27FC236}">
                  <a16:creationId xmlns:a16="http://schemas.microsoft.com/office/drawing/2014/main" id="{9BD7BB3C-A702-1EFB-2E73-F8E80B344C00}"/>
                </a:ext>
              </a:extLst>
            </xdr14:cNvPr>
            <xdr14:cNvContentPartPr/>
          </xdr14:nvContentPartPr>
          <xdr14:nvPr macro=""/>
          <xdr14:xfrm>
            <a:off x="0" y="3482220"/>
            <a:ext cx="2629440" cy="1044000"/>
          </xdr14:xfrm>
        </xdr:contentPart>
      </mc:Choice>
      <mc:Fallback xmlns="">
        <xdr:pic>
          <xdr:nvPicPr>
            <xdr:cNvPr id="31" name="Ink 30">
              <a:extLst>
                <a:ext uri="{FF2B5EF4-FFF2-40B4-BE49-F238E27FC236}">
                  <a16:creationId xmlns:a16="http://schemas.microsoft.com/office/drawing/2014/main" id="{9BD7BB3C-A702-1EFB-2E73-F8E80B344C00}"/>
                </a:ext>
              </a:extLst>
            </xdr:cNvPr>
            <xdr:cNvPicPr/>
          </xdr:nvPicPr>
          <xdr:blipFill>
            <a:blip xmlns:r="http://schemas.openxmlformats.org/officeDocument/2006/relationships" r:embed="rId5"/>
            <a:stretch>
              <a:fillRect/>
            </a:stretch>
          </xdr:blipFill>
          <xdr:spPr>
            <a:xfrm>
              <a:off x="-6120" y="3476100"/>
              <a:ext cx="2641680" cy="1056240"/>
            </a:xfrm>
            <a:prstGeom prst="rect">
              <a:avLst/>
            </a:prstGeom>
          </xdr:spPr>
        </xdr:pic>
      </mc:Fallback>
    </mc:AlternateContent>
    <xdr:clientData/>
  </xdr:twoCellAnchor>
  <xdr:twoCellAnchor editAs="oneCell">
    <xdr:from>
      <xdr:col>6</xdr:col>
      <xdr:colOff>37800</xdr:colOff>
      <xdr:row>23</xdr:row>
      <xdr:rowOff>30240</xdr:rowOff>
    </xdr:from>
    <xdr:to>
      <xdr:col>6</xdr:col>
      <xdr:colOff>38160</xdr:colOff>
      <xdr:row>23</xdr:row>
      <xdr:rowOff>30600</xdr:rowOff>
    </xdr:to>
    <mc:AlternateContent xmlns:mc="http://schemas.openxmlformats.org/markup-compatibility/2006" xmlns:xdr14="http://schemas.microsoft.com/office/excel/2010/spreadsheetDrawing" xmlns:aink="http://schemas.microsoft.com/office/drawing/2016/ink">
      <mc:Choice Requires="xdr14 aink">
        <xdr:contentPart xmlns:r="http://schemas.openxmlformats.org/officeDocument/2006/relationships" r:id="rId6">
          <xdr14:nvContentPartPr>
            <xdr14:cNvPr id="35" name="Ink 34">
              <a:extLst>
                <a:ext uri="{FF2B5EF4-FFF2-40B4-BE49-F238E27FC236}">
                  <a16:creationId xmlns:a16="http://schemas.microsoft.com/office/drawing/2014/main" id="{ECED726B-8850-62BE-37F6-926F026B474F}"/>
                </a:ext>
              </a:extLst>
            </xdr14:cNvPr>
            <xdr14:cNvContentPartPr/>
          </xdr14:nvContentPartPr>
          <xdr14:nvPr macro=""/>
          <xdr14:xfrm>
            <a:off x="5249880" y="4236480"/>
            <a:ext cx="360" cy="360"/>
          </xdr14:xfrm>
        </xdr:contentPart>
      </mc:Choice>
      <mc:Fallback xmlns="">
        <xdr:pic>
          <xdr:nvPicPr>
            <xdr:cNvPr id="35" name="Ink 34">
              <a:extLst>
                <a:ext uri="{FF2B5EF4-FFF2-40B4-BE49-F238E27FC236}">
                  <a16:creationId xmlns:a16="http://schemas.microsoft.com/office/drawing/2014/main" id="{ECED726B-8850-62BE-37F6-926F026B474F}"/>
                </a:ext>
              </a:extLst>
            </xdr:cNvPr>
            <xdr:cNvPicPr/>
          </xdr:nvPicPr>
          <xdr:blipFill>
            <a:blip xmlns:r="http://schemas.openxmlformats.org/officeDocument/2006/relationships" r:embed="rId7"/>
            <a:stretch>
              <a:fillRect/>
            </a:stretch>
          </xdr:blipFill>
          <xdr:spPr>
            <a:xfrm>
              <a:off x="5241240" y="4182840"/>
              <a:ext cx="18000" cy="108000"/>
            </a:xfrm>
            <a:prstGeom prst="rect">
              <a:avLst/>
            </a:prstGeom>
          </xdr:spPr>
        </xdr:pic>
      </mc:Fallback>
    </mc:AlternateContent>
    <xdr:clientData/>
  </xdr:twoCellAnchor>
  <xdr:twoCellAnchor editAs="oneCell">
    <xdr:from>
      <xdr:col>1</xdr:col>
      <xdr:colOff>76020</xdr:colOff>
      <xdr:row>21</xdr:row>
      <xdr:rowOff>45720</xdr:rowOff>
    </xdr:from>
    <xdr:to>
      <xdr:col>1</xdr:col>
      <xdr:colOff>76380</xdr:colOff>
      <xdr:row>21</xdr:row>
      <xdr:rowOff>46080</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56" name="Ink 55">
              <a:extLst>
                <a:ext uri="{FF2B5EF4-FFF2-40B4-BE49-F238E27FC236}">
                  <a16:creationId xmlns:a16="http://schemas.microsoft.com/office/drawing/2014/main" id="{2A9FAD53-B6A3-87F0-ED9D-B967B5DCF8E6}"/>
                </a:ext>
              </a:extLst>
            </xdr14:cNvPr>
            <xdr14:cNvContentPartPr/>
          </xdr14:nvContentPartPr>
          <xdr14:nvPr macro=""/>
          <xdr14:xfrm>
            <a:off x="937080" y="3886200"/>
            <a:ext cx="360" cy="360"/>
          </xdr14:xfrm>
        </xdr:contentPart>
      </mc:Choice>
      <mc:Fallback xmlns="">
        <xdr:pic>
          <xdr:nvPicPr>
            <xdr:cNvPr id="56" name="Ink 55">
              <a:extLst>
                <a:ext uri="{FF2B5EF4-FFF2-40B4-BE49-F238E27FC236}">
                  <a16:creationId xmlns:a16="http://schemas.microsoft.com/office/drawing/2014/main" id="{2A9FAD53-B6A3-87F0-ED9D-B967B5DCF8E6}"/>
                </a:ext>
              </a:extLst>
            </xdr:cNvPr>
            <xdr:cNvPicPr/>
          </xdr:nvPicPr>
          <xdr:blipFill>
            <a:blip xmlns:r="http://schemas.openxmlformats.org/officeDocument/2006/relationships" r:embed="rId9"/>
            <a:stretch>
              <a:fillRect/>
            </a:stretch>
          </xdr:blipFill>
          <xdr:spPr>
            <a:xfrm>
              <a:off x="919080" y="3868200"/>
              <a:ext cx="36000" cy="36000"/>
            </a:xfrm>
            <a:prstGeom prst="rect">
              <a:avLst/>
            </a:prstGeom>
          </xdr:spPr>
        </xdr:pic>
      </mc:Fallback>
    </mc:AlternateContent>
    <xdr:clientData/>
  </xdr:twoCellAnchor>
  <xdr:twoCellAnchor>
    <xdr:from>
      <xdr:col>6</xdr:col>
      <xdr:colOff>266700</xdr:colOff>
      <xdr:row>31</xdr:row>
      <xdr:rowOff>26670</xdr:rowOff>
    </xdr:from>
    <xdr:to>
      <xdr:col>12</xdr:col>
      <xdr:colOff>129540</xdr:colOff>
      <xdr:row>46</xdr:row>
      <xdr:rowOff>26670</xdr:rowOff>
    </xdr:to>
    <xdr:graphicFrame macro="">
      <xdr:nvGraphicFramePr>
        <xdr:cNvPr id="57" name="Chart 56">
          <a:extLst>
            <a:ext uri="{FF2B5EF4-FFF2-40B4-BE49-F238E27FC236}">
              <a16:creationId xmlns:a16="http://schemas.microsoft.com/office/drawing/2014/main" id="{A47BA6C2-CCE0-0CF4-FAAC-912984A9FA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xdr:col>
      <xdr:colOff>129540</xdr:colOff>
      <xdr:row>12</xdr:row>
      <xdr:rowOff>41910</xdr:rowOff>
    </xdr:from>
    <xdr:to>
      <xdr:col>6</xdr:col>
      <xdr:colOff>365760</xdr:colOff>
      <xdr:row>27</xdr:row>
      <xdr:rowOff>41910</xdr:rowOff>
    </xdr:to>
    <xdr:graphicFrame macro="">
      <xdr:nvGraphicFramePr>
        <xdr:cNvPr id="59" name="Chart 58">
          <a:extLst>
            <a:ext uri="{FF2B5EF4-FFF2-40B4-BE49-F238E27FC236}">
              <a16:creationId xmlns:a16="http://schemas.microsoft.com/office/drawing/2014/main" id="{C51DE5AF-2678-F746-0183-1397D8005A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7</xdr:col>
      <xdr:colOff>381000</xdr:colOff>
      <xdr:row>17</xdr:row>
      <xdr:rowOff>163830</xdr:rowOff>
    </xdr:from>
    <xdr:to>
      <xdr:col>13</xdr:col>
      <xdr:colOff>91440</xdr:colOff>
      <xdr:row>29</xdr:row>
      <xdr:rowOff>160020</xdr:rowOff>
    </xdr:to>
    <xdr:graphicFrame macro="">
      <xdr:nvGraphicFramePr>
        <xdr:cNvPr id="60" name="Chart 59">
          <a:extLst>
            <a:ext uri="{FF2B5EF4-FFF2-40B4-BE49-F238E27FC236}">
              <a16:creationId xmlns:a16="http://schemas.microsoft.com/office/drawing/2014/main" id="{69007E5E-C627-7EB5-F9A3-609BC85EE4E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14</xdr:col>
      <xdr:colOff>121920</xdr:colOff>
      <xdr:row>10</xdr:row>
      <xdr:rowOff>99060</xdr:rowOff>
    </xdr:from>
    <xdr:to>
      <xdr:col>17</xdr:col>
      <xdr:colOff>121920</xdr:colOff>
      <xdr:row>24</xdr:row>
      <xdr:rowOff>5715</xdr:rowOff>
    </xdr:to>
    <mc:AlternateContent xmlns:mc="http://schemas.openxmlformats.org/markup-compatibility/2006" xmlns:a14="http://schemas.microsoft.com/office/drawing/2010/main">
      <mc:Choice Requires="a14">
        <xdr:graphicFrame macro="">
          <xdr:nvGraphicFramePr>
            <xdr:cNvPr id="61" name="Sales Person">
              <a:extLst>
                <a:ext uri="{FF2B5EF4-FFF2-40B4-BE49-F238E27FC236}">
                  <a16:creationId xmlns:a16="http://schemas.microsoft.com/office/drawing/2014/main" id="{E8316390-68B3-A1D1-799C-E2BB4DC27596}"/>
                </a:ext>
              </a:extLst>
            </xdr:cNvPr>
            <xdr:cNvGraphicFramePr/>
          </xdr:nvGraphicFramePr>
          <xdr:xfrm>
            <a:off x="0" y="0"/>
            <a:ext cx="0" cy="0"/>
          </xdr:xfrm>
          <a:graphic>
            <a:graphicData uri="http://schemas.microsoft.com/office/drawing/2010/slicer">
              <sle:slicer xmlns:sle="http://schemas.microsoft.com/office/drawing/2010/slicer" name="Sales Person"/>
            </a:graphicData>
          </a:graphic>
        </xdr:graphicFrame>
      </mc:Choice>
      <mc:Fallback xmlns="">
        <xdr:sp macro="" textlink="">
          <xdr:nvSpPr>
            <xdr:cNvPr id="0" name=""/>
            <xdr:cNvSpPr>
              <a:spLocks noTextEdit="1"/>
            </xdr:cNvSpPr>
          </xdr:nvSpPr>
          <xdr:spPr>
            <a:xfrm>
              <a:off x="11704320" y="192786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358140</xdr:colOff>
      <xdr:row>25</xdr:row>
      <xdr:rowOff>15240</xdr:rowOff>
    </xdr:from>
    <xdr:to>
      <xdr:col>17</xdr:col>
      <xdr:colOff>350520</xdr:colOff>
      <xdr:row>28</xdr:row>
      <xdr:rowOff>160019</xdr:rowOff>
    </xdr:to>
    <mc:AlternateContent xmlns:mc="http://schemas.openxmlformats.org/markup-compatibility/2006" xmlns:a14="http://schemas.microsoft.com/office/drawing/2010/main">
      <mc:Choice Requires="a14">
        <xdr:graphicFrame macro="">
          <xdr:nvGraphicFramePr>
            <xdr:cNvPr id="62" name="Region">
              <a:extLst>
                <a:ext uri="{FF2B5EF4-FFF2-40B4-BE49-F238E27FC236}">
                  <a16:creationId xmlns:a16="http://schemas.microsoft.com/office/drawing/2014/main" id="{05C84296-7CDF-03B6-DAC8-D7054FBAD55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1940540" y="4587240"/>
              <a:ext cx="1821180" cy="69341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533400</xdr:colOff>
      <xdr:row>33</xdr:row>
      <xdr:rowOff>76200</xdr:rowOff>
    </xdr:from>
    <xdr:to>
      <xdr:col>18</xdr:col>
      <xdr:colOff>533400</xdr:colOff>
      <xdr:row>46</xdr:row>
      <xdr:rowOff>165735</xdr:rowOff>
    </xdr:to>
    <mc:AlternateContent xmlns:mc="http://schemas.openxmlformats.org/markup-compatibility/2006" xmlns:a14="http://schemas.microsoft.com/office/drawing/2010/main">
      <mc:Choice Requires="a14">
        <xdr:graphicFrame macro="">
          <xdr:nvGraphicFramePr>
            <xdr:cNvPr id="63" name="Product">
              <a:extLst>
                <a:ext uri="{FF2B5EF4-FFF2-40B4-BE49-F238E27FC236}">
                  <a16:creationId xmlns:a16="http://schemas.microsoft.com/office/drawing/2014/main" id="{5494825D-261A-EC07-F153-2617C73D9202}"/>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2725400" y="611124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76200</xdr:rowOff>
    </xdr:from>
    <xdr:to>
      <xdr:col>20</xdr:col>
      <xdr:colOff>408000</xdr:colOff>
      <xdr:row>4</xdr:row>
      <xdr:rowOff>179880</xdr:rowOff>
    </xdr:to>
    <xdr:sp macro="" textlink="">
      <xdr:nvSpPr>
        <xdr:cNvPr id="2" name="Rectangle: Rounded Corners 1">
          <a:extLst>
            <a:ext uri="{FF2B5EF4-FFF2-40B4-BE49-F238E27FC236}">
              <a16:creationId xmlns:a16="http://schemas.microsoft.com/office/drawing/2014/main" id="{056EF196-3A1E-7CA5-4339-B359A2312377}"/>
            </a:ext>
          </a:extLst>
        </xdr:cNvPr>
        <xdr:cNvSpPr/>
      </xdr:nvSpPr>
      <xdr:spPr>
        <a:xfrm>
          <a:off x="0" y="76200"/>
          <a:ext cx="12600000" cy="835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800" b="1">
              <a:solidFill>
                <a:schemeClr val="accent5">
                  <a:lumMod val="50000"/>
                </a:schemeClr>
              </a:solidFill>
            </a:rPr>
            <a:t>Sales Dashboard</a:t>
          </a:r>
        </a:p>
      </xdr:txBody>
    </xdr:sp>
    <xdr:clientData/>
  </xdr:twoCellAnchor>
  <xdr:twoCellAnchor>
    <xdr:from>
      <xdr:col>0</xdr:col>
      <xdr:colOff>0</xdr:colOff>
      <xdr:row>5</xdr:row>
      <xdr:rowOff>45720</xdr:rowOff>
    </xdr:from>
    <xdr:to>
      <xdr:col>3</xdr:col>
      <xdr:colOff>439200</xdr:colOff>
      <xdr:row>9</xdr:row>
      <xdr:rowOff>175260</xdr:rowOff>
    </xdr:to>
    <xdr:grpSp>
      <xdr:nvGrpSpPr>
        <xdr:cNvPr id="10" name="Group 9">
          <a:extLst>
            <a:ext uri="{FF2B5EF4-FFF2-40B4-BE49-F238E27FC236}">
              <a16:creationId xmlns:a16="http://schemas.microsoft.com/office/drawing/2014/main" id="{04C09D3F-9ADA-99CA-63CA-017A6F4880F7}"/>
            </a:ext>
          </a:extLst>
        </xdr:cNvPr>
        <xdr:cNvGrpSpPr/>
      </xdr:nvGrpSpPr>
      <xdr:grpSpPr>
        <a:xfrm>
          <a:off x="0" y="960120"/>
          <a:ext cx="2268000" cy="861060"/>
          <a:chOff x="0" y="960120"/>
          <a:chExt cx="2268000" cy="861060"/>
        </a:xfrm>
      </xdr:grpSpPr>
      <xdr:sp macro="" textlink="">
        <xdr:nvSpPr>
          <xdr:cNvPr id="4" name="Rectangle: Rounded Corners 3">
            <a:extLst>
              <a:ext uri="{FF2B5EF4-FFF2-40B4-BE49-F238E27FC236}">
                <a16:creationId xmlns:a16="http://schemas.microsoft.com/office/drawing/2014/main" id="{0074E03C-658D-C3A5-B42F-C29548E2B769}"/>
              </a:ext>
            </a:extLst>
          </xdr:cNvPr>
          <xdr:cNvSpPr/>
        </xdr:nvSpPr>
        <xdr:spPr>
          <a:xfrm>
            <a:off x="0" y="960120"/>
            <a:ext cx="2268000" cy="835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 name="Rectangle: Rounded Corners 2">
            <a:extLst>
              <a:ext uri="{FF2B5EF4-FFF2-40B4-BE49-F238E27FC236}">
                <a16:creationId xmlns:a16="http://schemas.microsoft.com/office/drawing/2014/main" id="{EE2D24A8-45BE-6709-BBB1-940E4A903B1C}"/>
              </a:ext>
            </a:extLst>
          </xdr:cNvPr>
          <xdr:cNvSpPr/>
        </xdr:nvSpPr>
        <xdr:spPr>
          <a:xfrm>
            <a:off x="7620" y="975360"/>
            <a:ext cx="662940" cy="845820"/>
          </a:xfrm>
          <a:prstGeom prst="roundRect">
            <a:avLst>
              <a:gd name="adj" fmla="val 24713"/>
            </a:avLst>
          </a:prstGeom>
          <a:solidFill>
            <a:schemeClr val="accent5">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TextBox 5">
            <a:extLst>
              <a:ext uri="{FF2B5EF4-FFF2-40B4-BE49-F238E27FC236}">
                <a16:creationId xmlns:a16="http://schemas.microsoft.com/office/drawing/2014/main" id="{41BF341F-FE48-2776-D5F4-1E31C91AD8E7}"/>
              </a:ext>
            </a:extLst>
          </xdr:cNvPr>
          <xdr:cNvSpPr txBox="1"/>
        </xdr:nvSpPr>
        <xdr:spPr>
          <a:xfrm>
            <a:off x="807720" y="1051560"/>
            <a:ext cx="10134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5">
                    <a:lumMod val="50000"/>
                  </a:schemeClr>
                </a:solidFill>
              </a:rPr>
              <a:t>TOTAL</a:t>
            </a:r>
            <a:r>
              <a:rPr lang="en-IN" sz="1100" b="1">
                <a:solidFill>
                  <a:schemeClr val="accent5">
                    <a:lumMod val="50000"/>
                  </a:schemeClr>
                </a:solidFill>
              </a:rPr>
              <a:t> </a:t>
            </a:r>
            <a:r>
              <a:rPr lang="en-IN" sz="1200" b="1">
                <a:solidFill>
                  <a:schemeClr val="accent5">
                    <a:lumMod val="50000"/>
                  </a:schemeClr>
                </a:solidFill>
              </a:rPr>
              <a:t>SALES</a:t>
            </a:r>
            <a:endParaRPr lang="en-IN" sz="1100" b="1">
              <a:solidFill>
                <a:schemeClr val="accent5">
                  <a:lumMod val="50000"/>
                </a:schemeClr>
              </a:solidFill>
            </a:endParaRPr>
          </a:p>
        </xdr:txBody>
      </xdr:sp>
      <xdr:sp macro="" textlink="'Sales Data'!L4">
        <xdr:nvSpPr>
          <xdr:cNvPr id="9" name="TextBox 8">
            <a:extLst>
              <a:ext uri="{FF2B5EF4-FFF2-40B4-BE49-F238E27FC236}">
                <a16:creationId xmlns:a16="http://schemas.microsoft.com/office/drawing/2014/main" id="{A42CAE22-FEC0-7871-15A1-DA9273441E0C}"/>
              </a:ext>
            </a:extLst>
          </xdr:cNvPr>
          <xdr:cNvSpPr txBox="1"/>
        </xdr:nvSpPr>
        <xdr:spPr>
          <a:xfrm>
            <a:off x="762000" y="1333500"/>
            <a:ext cx="13335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168DC85-F00E-40E9-84AE-6C04CE4CF0BF}" type="TxLink">
              <a:rPr lang="en-US" sz="1400" b="1" i="0" u="none" strike="noStrike">
                <a:ln>
                  <a:noFill/>
                </a:ln>
                <a:solidFill>
                  <a:schemeClr val="accent5">
                    <a:lumMod val="50000"/>
                  </a:schemeClr>
                </a:solidFill>
                <a:latin typeface="Calibri"/>
                <a:ea typeface="Calibri"/>
                <a:cs typeface="Calibri"/>
              </a:rPr>
              <a:pPr/>
              <a:t> ₹ 73,39,62,700 </a:t>
            </a:fld>
            <a:endParaRPr lang="en-IN" sz="1400" b="1">
              <a:ln>
                <a:noFill/>
              </a:ln>
              <a:solidFill>
                <a:schemeClr val="accent5">
                  <a:lumMod val="50000"/>
                </a:schemeClr>
              </a:solidFill>
            </a:endParaRPr>
          </a:p>
        </xdr:txBody>
      </xdr:sp>
    </xdr:grpSp>
    <xdr:clientData/>
  </xdr:twoCellAnchor>
  <xdr:twoCellAnchor>
    <xdr:from>
      <xdr:col>3</xdr:col>
      <xdr:colOff>502920</xdr:colOff>
      <xdr:row>5</xdr:row>
      <xdr:rowOff>38100</xdr:rowOff>
    </xdr:from>
    <xdr:to>
      <xdr:col>7</xdr:col>
      <xdr:colOff>332520</xdr:colOff>
      <xdr:row>9</xdr:row>
      <xdr:rowOff>167640</xdr:rowOff>
    </xdr:to>
    <xdr:grpSp>
      <xdr:nvGrpSpPr>
        <xdr:cNvPr id="11" name="Group 10">
          <a:extLst>
            <a:ext uri="{FF2B5EF4-FFF2-40B4-BE49-F238E27FC236}">
              <a16:creationId xmlns:a16="http://schemas.microsoft.com/office/drawing/2014/main" id="{1C7C85FE-7CA2-095A-69F3-191F99B2A0FB}"/>
            </a:ext>
          </a:extLst>
        </xdr:cNvPr>
        <xdr:cNvGrpSpPr/>
      </xdr:nvGrpSpPr>
      <xdr:grpSpPr>
        <a:xfrm>
          <a:off x="2331720" y="952500"/>
          <a:ext cx="2268000" cy="861060"/>
          <a:chOff x="0" y="960120"/>
          <a:chExt cx="2268000" cy="861060"/>
        </a:xfrm>
      </xdr:grpSpPr>
      <xdr:sp macro="" textlink="">
        <xdr:nvSpPr>
          <xdr:cNvPr id="12" name="Rectangle: Rounded Corners 11">
            <a:extLst>
              <a:ext uri="{FF2B5EF4-FFF2-40B4-BE49-F238E27FC236}">
                <a16:creationId xmlns:a16="http://schemas.microsoft.com/office/drawing/2014/main" id="{93C1B543-975C-44B6-635B-094151957A2B}"/>
              </a:ext>
            </a:extLst>
          </xdr:cNvPr>
          <xdr:cNvSpPr/>
        </xdr:nvSpPr>
        <xdr:spPr>
          <a:xfrm>
            <a:off x="0" y="960120"/>
            <a:ext cx="2268000" cy="835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749680F3-746F-8459-E4A2-71C75804C6FF}"/>
              </a:ext>
            </a:extLst>
          </xdr:cNvPr>
          <xdr:cNvSpPr/>
        </xdr:nvSpPr>
        <xdr:spPr>
          <a:xfrm>
            <a:off x="7620" y="975360"/>
            <a:ext cx="662940" cy="845820"/>
          </a:xfrm>
          <a:prstGeom prst="roundRect">
            <a:avLst>
              <a:gd name="adj" fmla="val 24713"/>
            </a:avLst>
          </a:prstGeom>
          <a:solidFill>
            <a:schemeClr val="accent5">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TextBox 13">
            <a:extLst>
              <a:ext uri="{FF2B5EF4-FFF2-40B4-BE49-F238E27FC236}">
                <a16:creationId xmlns:a16="http://schemas.microsoft.com/office/drawing/2014/main" id="{A4E7C636-12F2-AFFC-897D-8BEF1418FBD5}"/>
              </a:ext>
            </a:extLst>
          </xdr:cNvPr>
          <xdr:cNvSpPr txBox="1"/>
        </xdr:nvSpPr>
        <xdr:spPr>
          <a:xfrm>
            <a:off x="807720" y="1051560"/>
            <a:ext cx="12573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a:solidFill>
                  <a:schemeClr val="accent5">
                    <a:lumMod val="50000"/>
                  </a:schemeClr>
                </a:solidFill>
              </a:rPr>
              <a:t>AVERAGE SALES</a:t>
            </a:r>
            <a:endParaRPr lang="en-IN" sz="1200" b="1">
              <a:solidFill>
                <a:schemeClr val="accent5">
                  <a:lumMod val="50000"/>
                </a:schemeClr>
              </a:solidFill>
            </a:endParaRPr>
          </a:p>
        </xdr:txBody>
      </xdr:sp>
      <xdr:sp macro="" textlink="'Sales Data'!L10">
        <xdr:nvSpPr>
          <xdr:cNvPr id="15" name="TextBox 14">
            <a:extLst>
              <a:ext uri="{FF2B5EF4-FFF2-40B4-BE49-F238E27FC236}">
                <a16:creationId xmlns:a16="http://schemas.microsoft.com/office/drawing/2014/main" id="{7B6265D7-988C-5DC7-0B82-6C7442FAFE87}"/>
              </a:ext>
            </a:extLst>
          </xdr:cNvPr>
          <xdr:cNvSpPr txBox="1"/>
        </xdr:nvSpPr>
        <xdr:spPr>
          <a:xfrm>
            <a:off x="762000" y="1333500"/>
            <a:ext cx="13335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587C753-0DF8-4D17-862C-9E980999113A}" type="TxLink">
              <a:rPr lang="en-US" sz="1400" b="1" i="0" u="none" strike="noStrike">
                <a:ln>
                  <a:noFill/>
                </a:ln>
                <a:solidFill>
                  <a:schemeClr val="accent5">
                    <a:lumMod val="50000"/>
                  </a:schemeClr>
                </a:solidFill>
                <a:latin typeface="Calibri"/>
                <a:ea typeface="Calibri"/>
                <a:cs typeface="Calibri"/>
              </a:rPr>
              <a:pPr/>
              <a:t> ₹ 3,66,981 </a:t>
            </a:fld>
            <a:endParaRPr lang="en-IN" sz="1400" b="1">
              <a:ln>
                <a:noFill/>
              </a:ln>
              <a:solidFill>
                <a:schemeClr val="accent5">
                  <a:lumMod val="50000"/>
                </a:schemeClr>
              </a:solidFill>
            </a:endParaRPr>
          </a:p>
        </xdr:txBody>
      </xdr:sp>
    </xdr:grpSp>
    <xdr:clientData/>
  </xdr:twoCellAnchor>
  <xdr:twoCellAnchor>
    <xdr:from>
      <xdr:col>7</xdr:col>
      <xdr:colOff>411480</xdr:colOff>
      <xdr:row>5</xdr:row>
      <xdr:rowOff>22860</xdr:rowOff>
    </xdr:from>
    <xdr:to>
      <xdr:col>11</xdr:col>
      <xdr:colOff>241080</xdr:colOff>
      <xdr:row>9</xdr:row>
      <xdr:rowOff>152400</xdr:rowOff>
    </xdr:to>
    <xdr:grpSp>
      <xdr:nvGrpSpPr>
        <xdr:cNvPr id="16" name="Group 15">
          <a:extLst>
            <a:ext uri="{FF2B5EF4-FFF2-40B4-BE49-F238E27FC236}">
              <a16:creationId xmlns:a16="http://schemas.microsoft.com/office/drawing/2014/main" id="{FB8B4247-AB9A-73E7-CAD3-9A00D314377D}"/>
            </a:ext>
          </a:extLst>
        </xdr:cNvPr>
        <xdr:cNvGrpSpPr/>
      </xdr:nvGrpSpPr>
      <xdr:grpSpPr>
        <a:xfrm>
          <a:off x="4678680" y="937260"/>
          <a:ext cx="2268000" cy="861060"/>
          <a:chOff x="0" y="960120"/>
          <a:chExt cx="2268000" cy="861060"/>
        </a:xfrm>
      </xdr:grpSpPr>
      <xdr:sp macro="" textlink="">
        <xdr:nvSpPr>
          <xdr:cNvPr id="17" name="Rectangle: Rounded Corners 16">
            <a:extLst>
              <a:ext uri="{FF2B5EF4-FFF2-40B4-BE49-F238E27FC236}">
                <a16:creationId xmlns:a16="http://schemas.microsoft.com/office/drawing/2014/main" id="{302B5E17-5FFA-AB65-CB59-4B206418325D}"/>
              </a:ext>
            </a:extLst>
          </xdr:cNvPr>
          <xdr:cNvSpPr/>
        </xdr:nvSpPr>
        <xdr:spPr>
          <a:xfrm>
            <a:off x="0" y="960120"/>
            <a:ext cx="2268000" cy="835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8" name="Rectangle: Rounded Corners 17">
            <a:extLst>
              <a:ext uri="{FF2B5EF4-FFF2-40B4-BE49-F238E27FC236}">
                <a16:creationId xmlns:a16="http://schemas.microsoft.com/office/drawing/2014/main" id="{06F9168D-C39D-71B5-249B-CED726FDC659}"/>
              </a:ext>
            </a:extLst>
          </xdr:cNvPr>
          <xdr:cNvSpPr/>
        </xdr:nvSpPr>
        <xdr:spPr>
          <a:xfrm>
            <a:off x="7620" y="975360"/>
            <a:ext cx="662940" cy="845820"/>
          </a:xfrm>
          <a:prstGeom prst="roundRect">
            <a:avLst>
              <a:gd name="adj" fmla="val 24713"/>
            </a:avLst>
          </a:prstGeom>
          <a:solidFill>
            <a:schemeClr val="accent5">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TextBox 18">
            <a:extLst>
              <a:ext uri="{FF2B5EF4-FFF2-40B4-BE49-F238E27FC236}">
                <a16:creationId xmlns:a16="http://schemas.microsoft.com/office/drawing/2014/main" id="{317D855D-B013-99A7-AE02-1DAAE0009634}"/>
              </a:ext>
            </a:extLst>
          </xdr:cNvPr>
          <xdr:cNvSpPr txBox="1"/>
        </xdr:nvSpPr>
        <xdr:spPr>
          <a:xfrm>
            <a:off x="807720" y="1051560"/>
            <a:ext cx="10134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5">
                    <a:lumMod val="50000"/>
                  </a:schemeClr>
                </a:solidFill>
              </a:rPr>
              <a:t>UNIT</a:t>
            </a:r>
            <a:r>
              <a:rPr lang="en-IN" sz="1200" b="1" baseline="0">
                <a:solidFill>
                  <a:schemeClr val="accent5">
                    <a:lumMod val="50000"/>
                  </a:schemeClr>
                </a:solidFill>
              </a:rPr>
              <a:t> SOLD</a:t>
            </a:r>
            <a:endParaRPr lang="en-IN" sz="1200" b="1">
              <a:solidFill>
                <a:schemeClr val="accent5">
                  <a:lumMod val="50000"/>
                </a:schemeClr>
              </a:solidFill>
            </a:endParaRPr>
          </a:p>
        </xdr:txBody>
      </xdr:sp>
      <xdr:sp macro="" textlink="'Sales Data'!L7">
        <xdr:nvSpPr>
          <xdr:cNvPr id="20" name="TextBox 19">
            <a:extLst>
              <a:ext uri="{FF2B5EF4-FFF2-40B4-BE49-F238E27FC236}">
                <a16:creationId xmlns:a16="http://schemas.microsoft.com/office/drawing/2014/main" id="{F10294BC-7DBE-2237-9EAA-9D8C35A488D8}"/>
              </a:ext>
            </a:extLst>
          </xdr:cNvPr>
          <xdr:cNvSpPr txBox="1"/>
        </xdr:nvSpPr>
        <xdr:spPr>
          <a:xfrm>
            <a:off x="800100" y="1333500"/>
            <a:ext cx="13335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88C9E12-0BCD-4112-861A-EB36AC1D31F5}" type="TxLink">
              <a:rPr lang="en-US" sz="1400" b="1" i="0" u="none" strike="noStrike">
                <a:ln>
                  <a:noFill/>
                </a:ln>
                <a:solidFill>
                  <a:schemeClr val="accent5">
                    <a:lumMod val="50000"/>
                  </a:schemeClr>
                </a:solidFill>
                <a:latin typeface="Calibri"/>
                <a:ea typeface="Calibri"/>
                <a:cs typeface="Calibri"/>
              </a:rPr>
              <a:pPr/>
              <a:t>200708</a:t>
            </a:fld>
            <a:endParaRPr lang="en-IN" sz="1400" b="1">
              <a:ln>
                <a:noFill/>
              </a:ln>
              <a:solidFill>
                <a:schemeClr val="accent5">
                  <a:lumMod val="50000"/>
                </a:schemeClr>
              </a:solidFill>
            </a:endParaRPr>
          </a:p>
        </xdr:txBody>
      </xdr:sp>
    </xdr:grpSp>
    <xdr:clientData/>
  </xdr:twoCellAnchor>
  <xdr:twoCellAnchor>
    <xdr:from>
      <xdr:col>11</xdr:col>
      <xdr:colOff>327660</xdr:colOff>
      <xdr:row>5</xdr:row>
      <xdr:rowOff>15240</xdr:rowOff>
    </xdr:from>
    <xdr:to>
      <xdr:col>15</xdr:col>
      <xdr:colOff>157260</xdr:colOff>
      <xdr:row>9</xdr:row>
      <xdr:rowOff>144780</xdr:rowOff>
    </xdr:to>
    <xdr:grpSp>
      <xdr:nvGrpSpPr>
        <xdr:cNvPr id="21" name="Group 20">
          <a:extLst>
            <a:ext uri="{FF2B5EF4-FFF2-40B4-BE49-F238E27FC236}">
              <a16:creationId xmlns:a16="http://schemas.microsoft.com/office/drawing/2014/main" id="{F5CE1A14-5E86-F0B8-5D62-766718BC7329}"/>
            </a:ext>
          </a:extLst>
        </xdr:cNvPr>
        <xdr:cNvGrpSpPr/>
      </xdr:nvGrpSpPr>
      <xdr:grpSpPr>
        <a:xfrm>
          <a:off x="7033260" y="929640"/>
          <a:ext cx="2268000" cy="861060"/>
          <a:chOff x="0" y="960120"/>
          <a:chExt cx="2268000" cy="861060"/>
        </a:xfrm>
      </xdr:grpSpPr>
      <xdr:sp macro="" textlink="">
        <xdr:nvSpPr>
          <xdr:cNvPr id="22" name="Rectangle: Rounded Corners 21">
            <a:extLst>
              <a:ext uri="{FF2B5EF4-FFF2-40B4-BE49-F238E27FC236}">
                <a16:creationId xmlns:a16="http://schemas.microsoft.com/office/drawing/2014/main" id="{D2FF2106-F4B0-2C61-918A-5F0E4BAB4469}"/>
              </a:ext>
            </a:extLst>
          </xdr:cNvPr>
          <xdr:cNvSpPr/>
        </xdr:nvSpPr>
        <xdr:spPr>
          <a:xfrm>
            <a:off x="0" y="960120"/>
            <a:ext cx="2268000" cy="835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Rectangle: Rounded Corners 22">
            <a:extLst>
              <a:ext uri="{FF2B5EF4-FFF2-40B4-BE49-F238E27FC236}">
                <a16:creationId xmlns:a16="http://schemas.microsoft.com/office/drawing/2014/main" id="{8E313AB7-3ADE-C4E1-F9F9-2A799C2D6B9B}"/>
              </a:ext>
            </a:extLst>
          </xdr:cNvPr>
          <xdr:cNvSpPr/>
        </xdr:nvSpPr>
        <xdr:spPr>
          <a:xfrm>
            <a:off x="7620" y="975360"/>
            <a:ext cx="662940" cy="845820"/>
          </a:xfrm>
          <a:prstGeom prst="roundRect">
            <a:avLst>
              <a:gd name="adj" fmla="val 24713"/>
            </a:avLst>
          </a:prstGeom>
          <a:solidFill>
            <a:schemeClr val="accent5">
              <a:lumMod val="50000"/>
            </a:schemeClr>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TextBox 23">
            <a:extLst>
              <a:ext uri="{FF2B5EF4-FFF2-40B4-BE49-F238E27FC236}">
                <a16:creationId xmlns:a16="http://schemas.microsoft.com/office/drawing/2014/main" id="{6FA38E79-D357-322F-A6BF-CE8F624A888E}"/>
              </a:ext>
            </a:extLst>
          </xdr:cNvPr>
          <xdr:cNvSpPr txBox="1"/>
        </xdr:nvSpPr>
        <xdr:spPr>
          <a:xfrm>
            <a:off x="807720" y="1051560"/>
            <a:ext cx="101346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b="1">
                <a:solidFill>
                  <a:schemeClr val="accent5">
                    <a:lumMod val="50000"/>
                  </a:schemeClr>
                </a:solidFill>
              </a:rPr>
              <a:t>PROFIT</a:t>
            </a:r>
            <a:endParaRPr lang="en-IN" sz="1100" b="1">
              <a:solidFill>
                <a:schemeClr val="accent5">
                  <a:lumMod val="50000"/>
                </a:schemeClr>
              </a:solidFill>
            </a:endParaRPr>
          </a:p>
        </xdr:txBody>
      </xdr:sp>
      <xdr:sp macro="" textlink="'Sales Data'!L13">
        <xdr:nvSpPr>
          <xdr:cNvPr id="25" name="TextBox 24">
            <a:extLst>
              <a:ext uri="{FF2B5EF4-FFF2-40B4-BE49-F238E27FC236}">
                <a16:creationId xmlns:a16="http://schemas.microsoft.com/office/drawing/2014/main" id="{29D6C64B-FF3B-D7C1-B6EC-054FE3536B0F}"/>
              </a:ext>
            </a:extLst>
          </xdr:cNvPr>
          <xdr:cNvSpPr txBox="1"/>
        </xdr:nvSpPr>
        <xdr:spPr>
          <a:xfrm>
            <a:off x="762000" y="1333500"/>
            <a:ext cx="133350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4C3B1A-FFFA-42C9-98C9-E974C4FBACE0}" type="TxLink">
              <a:rPr lang="en-US" sz="1400" b="1" i="0" u="none" strike="noStrike">
                <a:ln>
                  <a:noFill/>
                </a:ln>
                <a:solidFill>
                  <a:schemeClr val="accent5">
                    <a:lumMod val="50000"/>
                  </a:schemeClr>
                </a:solidFill>
                <a:latin typeface="Calibri"/>
                <a:ea typeface="Calibri"/>
                <a:cs typeface="Calibri"/>
              </a:rPr>
              <a:pPr/>
              <a:t> ₹ 22,03,91,000 </a:t>
            </a:fld>
            <a:endParaRPr lang="en-IN" sz="1800" b="1">
              <a:ln>
                <a:noFill/>
              </a:ln>
              <a:solidFill>
                <a:schemeClr val="accent5">
                  <a:lumMod val="50000"/>
                </a:schemeClr>
              </a:solidFill>
            </a:endParaRPr>
          </a:p>
        </xdr:txBody>
      </xdr:sp>
    </xdr:grpSp>
    <xdr:clientData/>
  </xdr:twoCellAnchor>
  <xdr:twoCellAnchor editAs="oneCell">
    <xdr:from>
      <xdr:col>15</xdr:col>
      <xdr:colOff>259080</xdr:colOff>
      <xdr:row>5</xdr:row>
      <xdr:rowOff>76200</xdr:rowOff>
    </xdr:from>
    <xdr:to>
      <xdr:col>20</xdr:col>
      <xdr:colOff>426720</xdr:colOff>
      <xdr:row>9</xdr:row>
      <xdr:rowOff>30480</xdr:rowOff>
    </xdr:to>
    <mc:AlternateContent xmlns:mc="http://schemas.openxmlformats.org/markup-compatibility/2006" xmlns:a14="http://schemas.microsoft.com/office/drawing/2010/main">
      <mc:Choice Requires="a14">
        <xdr:graphicFrame macro="">
          <xdr:nvGraphicFramePr>
            <xdr:cNvPr id="26" name="Region 1">
              <a:extLst>
                <a:ext uri="{FF2B5EF4-FFF2-40B4-BE49-F238E27FC236}">
                  <a16:creationId xmlns:a16="http://schemas.microsoft.com/office/drawing/2014/main" id="{F0CA00A1-786C-493C-BF40-DF4C71FEC40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9403080" y="990600"/>
              <a:ext cx="3215640" cy="685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xdr:colOff>
      <xdr:row>23</xdr:row>
      <xdr:rowOff>22860</xdr:rowOff>
    </xdr:from>
    <xdr:to>
      <xdr:col>3</xdr:col>
      <xdr:colOff>7620</xdr:colOff>
      <xdr:row>40</xdr:row>
      <xdr:rowOff>22860</xdr:rowOff>
    </xdr:to>
    <mc:AlternateContent xmlns:mc="http://schemas.openxmlformats.org/markup-compatibility/2006" xmlns:a14="http://schemas.microsoft.com/office/drawing/2010/main">
      <mc:Choice Requires="a14">
        <xdr:graphicFrame macro="">
          <xdr:nvGraphicFramePr>
            <xdr:cNvPr id="30" name="Sales Person 1">
              <a:extLst>
                <a:ext uri="{FF2B5EF4-FFF2-40B4-BE49-F238E27FC236}">
                  <a16:creationId xmlns:a16="http://schemas.microsoft.com/office/drawing/2014/main" id="{5854CA81-B157-448B-8EB7-23DAE3A81FAB}"/>
                </a:ext>
              </a:extLst>
            </xdr:cNvPr>
            <xdr:cNvGraphicFramePr/>
          </xdr:nvGraphicFramePr>
          <xdr:xfrm>
            <a:off x="0" y="0"/>
            <a:ext cx="0" cy="0"/>
          </xdr:xfrm>
          <a:graphic>
            <a:graphicData uri="http://schemas.microsoft.com/office/drawing/2010/slicer">
              <sle:slicer xmlns:sle="http://schemas.microsoft.com/office/drawing/2010/slicer" name="Sales Person 1"/>
            </a:graphicData>
          </a:graphic>
        </xdr:graphicFrame>
      </mc:Choice>
      <mc:Fallback xmlns="">
        <xdr:sp macro="" textlink="">
          <xdr:nvSpPr>
            <xdr:cNvPr id="0" name=""/>
            <xdr:cNvSpPr>
              <a:spLocks noTextEdit="1"/>
            </xdr:cNvSpPr>
          </xdr:nvSpPr>
          <xdr:spPr>
            <a:xfrm>
              <a:off x="7620" y="4229100"/>
              <a:ext cx="1828800" cy="31089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10</xdr:row>
      <xdr:rowOff>76200</xdr:rowOff>
    </xdr:from>
    <xdr:to>
      <xdr:col>3</xdr:col>
      <xdr:colOff>0</xdr:colOff>
      <xdr:row>23</xdr:row>
      <xdr:rowOff>45719</xdr:rowOff>
    </xdr:to>
    <mc:AlternateContent xmlns:mc="http://schemas.openxmlformats.org/markup-compatibility/2006" xmlns:a14="http://schemas.microsoft.com/office/drawing/2010/main">
      <mc:Choice Requires="a14">
        <xdr:graphicFrame macro="">
          <xdr:nvGraphicFramePr>
            <xdr:cNvPr id="32" name="Product 1">
              <a:extLst>
                <a:ext uri="{FF2B5EF4-FFF2-40B4-BE49-F238E27FC236}">
                  <a16:creationId xmlns:a16="http://schemas.microsoft.com/office/drawing/2014/main" id="{01D90C8A-EDAD-48E0-AE8C-95AD42B07E2A}"/>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0" y="1905000"/>
              <a:ext cx="1828800" cy="234695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76200</xdr:colOff>
      <xdr:row>10</xdr:row>
      <xdr:rowOff>121920</xdr:rowOff>
    </xdr:from>
    <xdr:to>
      <xdr:col>11</xdr:col>
      <xdr:colOff>571500</xdr:colOff>
      <xdr:row>24</xdr:row>
      <xdr:rowOff>15240</xdr:rowOff>
    </xdr:to>
    <xdr:sp macro="" textlink="">
      <xdr:nvSpPr>
        <xdr:cNvPr id="34" name="Rectangle: Rounded Corners 33">
          <a:extLst>
            <a:ext uri="{FF2B5EF4-FFF2-40B4-BE49-F238E27FC236}">
              <a16:creationId xmlns:a16="http://schemas.microsoft.com/office/drawing/2014/main" id="{5978B623-9DFE-D7AF-5A80-A3410BE05910}"/>
            </a:ext>
          </a:extLst>
        </xdr:cNvPr>
        <xdr:cNvSpPr/>
      </xdr:nvSpPr>
      <xdr:spPr>
        <a:xfrm>
          <a:off x="1905000" y="1950720"/>
          <a:ext cx="5372100" cy="245364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b="1">
            <a:solidFill>
              <a:schemeClr val="accent5">
                <a:lumMod val="50000"/>
              </a:schemeClr>
            </a:solidFill>
          </a:endParaRPr>
        </a:p>
      </xdr:txBody>
    </xdr:sp>
    <xdr:clientData/>
  </xdr:twoCellAnchor>
  <xdr:twoCellAnchor>
    <xdr:from>
      <xdr:col>3</xdr:col>
      <xdr:colOff>160020</xdr:colOff>
      <xdr:row>10</xdr:row>
      <xdr:rowOff>76200</xdr:rowOff>
    </xdr:from>
    <xdr:to>
      <xdr:col>5</xdr:col>
      <xdr:colOff>579120</xdr:colOff>
      <xdr:row>11</xdr:row>
      <xdr:rowOff>83820</xdr:rowOff>
    </xdr:to>
    <xdr:sp macro="" textlink="">
      <xdr:nvSpPr>
        <xdr:cNvPr id="35" name="TextBox 34">
          <a:extLst>
            <a:ext uri="{FF2B5EF4-FFF2-40B4-BE49-F238E27FC236}">
              <a16:creationId xmlns:a16="http://schemas.microsoft.com/office/drawing/2014/main" id="{48B3DECB-97FF-613C-BC38-D6226D81A346}"/>
            </a:ext>
          </a:extLst>
        </xdr:cNvPr>
        <xdr:cNvSpPr txBox="1"/>
      </xdr:nvSpPr>
      <xdr:spPr>
        <a:xfrm>
          <a:off x="1988820" y="1905000"/>
          <a:ext cx="16383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chemeClr val="accent5">
                  <a:lumMod val="50000"/>
                </a:schemeClr>
              </a:solidFill>
            </a:rPr>
            <a:t>UNIT SOLD BY PRODUCT</a:t>
          </a:r>
        </a:p>
      </xdr:txBody>
    </xdr:sp>
    <xdr:clientData/>
  </xdr:twoCellAnchor>
  <xdr:twoCellAnchor>
    <xdr:from>
      <xdr:col>3</xdr:col>
      <xdr:colOff>335280</xdr:colOff>
      <xdr:row>11</xdr:row>
      <xdr:rowOff>60960</xdr:rowOff>
    </xdr:from>
    <xdr:to>
      <xdr:col>11</xdr:col>
      <xdr:colOff>449580</xdr:colOff>
      <xdr:row>23</xdr:row>
      <xdr:rowOff>175260</xdr:rowOff>
    </xdr:to>
    <xdr:graphicFrame macro="">
      <xdr:nvGraphicFramePr>
        <xdr:cNvPr id="36" name="Chart 35">
          <a:extLst>
            <a:ext uri="{FF2B5EF4-FFF2-40B4-BE49-F238E27FC236}">
              <a16:creationId xmlns:a16="http://schemas.microsoft.com/office/drawing/2014/main" id="{E49C4E75-A703-442F-A724-12F3FC02AD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15240</xdr:colOff>
      <xdr:row>10</xdr:row>
      <xdr:rowOff>91440</xdr:rowOff>
    </xdr:from>
    <xdr:to>
      <xdr:col>20</xdr:col>
      <xdr:colOff>419100</xdr:colOff>
      <xdr:row>24</xdr:row>
      <xdr:rowOff>53340</xdr:rowOff>
    </xdr:to>
    <xdr:sp macro="" textlink="">
      <xdr:nvSpPr>
        <xdr:cNvPr id="37" name="Rectangle: Rounded Corners 36">
          <a:extLst>
            <a:ext uri="{FF2B5EF4-FFF2-40B4-BE49-F238E27FC236}">
              <a16:creationId xmlns:a16="http://schemas.microsoft.com/office/drawing/2014/main" id="{90A6CF9B-87BD-A64A-29F0-8219D63BEEB5}"/>
            </a:ext>
          </a:extLst>
        </xdr:cNvPr>
        <xdr:cNvSpPr/>
      </xdr:nvSpPr>
      <xdr:spPr>
        <a:xfrm>
          <a:off x="7330440" y="1920240"/>
          <a:ext cx="5280660" cy="25222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b="1">
            <a:solidFill>
              <a:schemeClr val="accent5">
                <a:lumMod val="50000"/>
              </a:schemeClr>
            </a:solidFill>
          </a:endParaRPr>
        </a:p>
      </xdr:txBody>
    </xdr:sp>
    <xdr:clientData/>
  </xdr:twoCellAnchor>
  <xdr:twoCellAnchor>
    <xdr:from>
      <xdr:col>3</xdr:col>
      <xdr:colOff>114300</xdr:colOff>
      <xdr:row>25</xdr:row>
      <xdr:rowOff>15240</xdr:rowOff>
    </xdr:from>
    <xdr:to>
      <xdr:col>11</xdr:col>
      <xdr:colOff>518160</xdr:colOff>
      <xdr:row>38</xdr:row>
      <xdr:rowOff>160020</xdr:rowOff>
    </xdr:to>
    <xdr:sp macro="" textlink="">
      <xdr:nvSpPr>
        <xdr:cNvPr id="38" name="Rectangle: Rounded Corners 37">
          <a:extLst>
            <a:ext uri="{FF2B5EF4-FFF2-40B4-BE49-F238E27FC236}">
              <a16:creationId xmlns:a16="http://schemas.microsoft.com/office/drawing/2014/main" id="{3A412457-1598-DF9B-CD44-87EB69A5F6DB}"/>
            </a:ext>
          </a:extLst>
        </xdr:cNvPr>
        <xdr:cNvSpPr/>
      </xdr:nvSpPr>
      <xdr:spPr>
        <a:xfrm>
          <a:off x="1943100" y="4587240"/>
          <a:ext cx="5280660" cy="25222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b="1">
            <a:solidFill>
              <a:schemeClr val="accent5">
                <a:lumMod val="50000"/>
              </a:schemeClr>
            </a:solidFill>
          </a:endParaRPr>
        </a:p>
      </xdr:txBody>
    </xdr:sp>
    <xdr:clientData/>
  </xdr:twoCellAnchor>
  <xdr:twoCellAnchor>
    <xdr:from>
      <xdr:col>12</xdr:col>
      <xdr:colOff>68580</xdr:colOff>
      <xdr:row>25</xdr:row>
      <xdr:rowOff>38100</xdr:rowOff>
    </xdr:from>
    <xdr:to>
      <xdr:col>20</xdr:col>
      <xdr:colOff>472440</xdr:colOff>
      <xdr:row>39</xdr:row>
      <xdr:rowOff>0</xdr:rowOff>
    </xdr:to>
    <xdr:sp macro="" textlink="">
      <xdr:nvSpPr>
        <xdr:cNvPr id="39" name="Rectangle: Rounded Corners 38">
          <a:extLst>
            <a:ext uri="{FF2B5EF4-FFF2-40B4-BE49-F238E27FC236}">
              <a16:creationId xmlns:a16="http://schemas.microsoft.com/office/drawing/2014/main" id="{6A3E619E-F7AF-2A2E-1197-962A5A7043B3}"/>
            </a:ext>
          </a:extLst>
        </xdr:cNvPr>
        <xdr:cNvSpPr/>
      </xdr:nvSpPr>
      <xdr:spPr>
        <a:xfrm>
          <a:off x="7383780" y="4610100"/>
          <a:ext cx="5280660" cy="252222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IN" sz="2800" b="1">
            <a:solidFill>
              <a:schemeClr val="accent5">
                <a:lumMod val="50000"/>
              </a:schemeClr>
            </a:solidFill>
          </a:endParaRPr>
        </a:p>
      </xdr:txBody>
    </xdr:sp>
    <xdr:clientData/>
  </xdr:twoCellAnchor>
  <xdr:twoCellAnchor>
    <xdr:from>
      <xdr:col>12</xdr:col>
      <xdr:colOff>114300</xdr:colOff>
      <xdr:row>10</xdr:row>
      <xdr:rowOff>91440</xdr:rowOff>
    </xdr:from>
    <xdr:to>
      <xdr:col>14</xdr:col>
      <xdr:colOff>533400</xdr:colOff>
      <xdr:row>11</xdr:row>
      <xdr:rowOff>99060</xdr:rowOff>
    </xdr:to>
    <xdr:sp macro="" textlink="">
      <xdr:nvSpPr>
        <xdr:cNvPr id="40" name="TextBox 39">
          <a:extLst>
            <a:ext uri="{FF2B5EF4-FFF2-40B4-BE49-F238E27FC236}">
              <a16:creationId xmlns:a16="http://schemas.microsoft.com/office/drawing/2014/main" id="{59E628A8-B1AD-3E3D-E11E-84C4689F4098}"/>
            </a:ext>
          </a:extLst>
        </xdr:cNvPr>
        <xdr:cNvSpPr txBox="1"/>
      </xdr:nvSpPr>
      <xdr:spPr>
        <a:xfrm>
          <a:off x="7429500" y="1920240"/>
          <a:ext cx="163830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chemeClr val="accent5">
                  <a:lumMod val="50000"/>
                </a:schemeClr>
              </a:solidFill>
            </a:rPr>
            <a:t>TOTAL</a:t>
          </a:r>
          <a:r>
            <a:rPr lang="en-IN" sz="1100" b="1" baseline="0">
              <a:ln>
                <a:noFill/>
              </a:ln>
              <a:solidFill>
                <a:schemeClr val="accent5">
                  <a:lumMod val="50000"/>
                </a:schemeClr>
              </a:solidFill>
            </a:rPr>
            <a:t> SALES BY REGION</a:t>
          </a:r>
          <a:endParaRPr lang="en-IN" sz="1100" b="1">
            <a:ln>
              <a:noFill/>
            </a:ln>
            <a:solidFill>
              <a:schemeClr val="accent5">
                <a:lumMod val="50000"/>
              </a:schemeClr>
            </a:solidFill>
          </a:endParaRPr>
        </a:p>
      </xdr:txBody>
    </xdr:sp>
    <xdr:clientData/>
  </xdr:twoCellAnchor>
  <xdr:twoCellAnchor>
    <xdr:from>
      <xdr:col>12</xdr:col>
      <xdr:colOff>91440</xdr:colOff>
      <xdr:row>25</xdr:row>
      <xdr:rowOff>60960</xdr:rowOff>
    </xdr:from>
    <xdr:to>
      <xdr:col>15</xdr:col>
      <xdr:colOff>289560</xdr:colOff>
      <xdr:row>26</xdr:row>
      <xdr:rowOff>76200</xdr:rowOff>
    </xdr:to>
    <xdr:sp macro="" textlink="">
      <xdr:nvSpPr>
        <xdr:cNvPr id="41" name="TextBox 40">
          <a:extLst>
            <a:ext uri="{FF2B5EF4-FFF2-40B4-BE49-F238E27FC236}">
              <a16:creationId xmlns:a16="http://schemas.microsoft.com/office/drawing/2014/main" id="{4B94AE39-4486-292E-4A14-22F19926BF7F}"/>
            </a:ext>
          </a:extLst>
        </xdr:cNvPr>
        <xdr:cNvSpPr txBox="1"/>
      </xdr:nvSpPr>
      <xdr:spPr>
        <a:xfrm>
          <a:off x="7406640" y="4632960"/>
          <a:ext cx="2026920" cy="1981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chemeClr val="accent5">
                  <a:lumMod val="50000"/>
                </a:schemeClr>
              </a:solidFill>
            </a:rPr>
            <a:t>TOTAL</a:t>
          </a:r>
          <a:r>
            <a:rPr lang="en-IN" sz="1100" b="1" baseline="0">
              <a:ln>
                <a:noFill/>
              </a:ln>
              <a:solidFill>
                <a:schemeClr val="accent5">
                  <a:lumMod val="50000"/>
                </a:schemeClr>
              </a:solidFill>
            </a:rPr>
            <a:t> SALES BY SALES PERSON</a:t>
          </a:r>
          <a:endParaRPr lang="en-IN" sz="1100" b="1">
            <a:ln>
              <a:noFill/>
            </a:ln>
            <a:solidFill>
              <a:schemeClr val="accent5">
                <a:lumMod val="50000"/>
              </a:schemeClr>
            </a:solidFill>
          </a:endParaRPr>
        </a:p>
      </xdr:txBody>
    </xdr:sp>
    <xdr:clientData/>
  </xdr:twoCellAnchor>
  <xdr:twoCellAnchor>
    <xdr:from>
      <xdr:col>3</xdr:col>
      <xdr:colOff>160020</xdr:colOff>
      <xdr:row>25</xdr:row>
      <xdr:rowOff>22860</xdr:rowOff>
    </xdr:from>
    <xdr:to>
      <xdr:col>6</xdr:col>
      <xdr:colOff>182880</xdr:colOff>
      <xdr:row>26</xdr:row>
      <xdr:rowOff>60960</xdr:rowOff>
    </xdr:to>
    <xdr:sp macro="" textlink="">
      <xdr:nvSpPr>
        <xdr:cNvPr id="42" name="TextBox 41">
          <a:extLst>
            <a:ext uri="{FF2B5EF4-FFF2-40B4-BE49-F238E27FC236}">
              <a16:creationId xmlns:a16="http://schemas.microsoft.com/office/drawing/2014/main" id="{E981735B-53A2-A896-C460-16F7248D8C0A}"/>
            </a:ext>
          </a:extLst>
        </xdr:cNvPr>
        <xdr:cNvSpPr txBox="1"/>
      </xdr:nvSpPr>
      <xdr:spPr>
        <a:xfrm>
          <a:off x="1988820" y="4594860"/>
          <a:ext cx="1851660" cy="220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ln>
                <a:noFill/>
              </a:ln>
              <a:solidFill>
                <a:schemeClr val="accent5">
                  <a:lumMod val="50000"/>
                </a:schemeClr>
              </a:solidFill>
            </a:rPr>
            <a:t>TOTAL</a:t>
          </a:r>
          <a:r>
            <a:rPr lang="en-IN" sz="1100" b="1" baseline="0">
              <a:ln>
                <a:noFill/>
              </a:ln>
              <a:solidFill>
                <a:schemeClr val="accent5">
                  <a:lumMod val="50000"/>
                </a:schemeClr>
              </a:solidFill>
            </a:rPr>
            <a:t> SALES BY PRODUCT</a:t>
          </a:r>
          <a:endParaRPr lang="en-IN" sz="1100" b="1">
            <a:ln>
              <a:noFill/>
            </a:ln>
            <a:solidFill>
              <a:schemeClr val="accent5">
                <a:lumMod val="50000"/>
              </a:schemeClr>
            </a:solidFill>
          </a:endParaRPr>
        </a:p>
      </xdr:txBody>
    </xdr:sp>
    <xdr:clientData/>
  </xdr:twoCellAnchor>
  <xdr:twoCellAnchor>
    <xdr:from>
      <xdr:col>12</xdr:col>
      <xdr:colOff>510540</xdr:colOff>
      <xdr:row>11</xdr:row>
      <xdr:rowOff>68580</xdr:rowOff>
    </xdr:from>
    <xdr:to>
      <xdr:col>19</xdr:col>
      <xdr:colOff>541020</xdr:colOff>
      <xdr:row>23</xdr:row>
      <xdr:rowOff>152400</xdr:rowOff>
    </xdr:to>
    <xdr:graphicFrame macro="">
      <xdr:nvGraphicFramePr>
        <xdr:cNvPr id="43" name="Chart 42">
          <a:extLst>
            <a:ext uri="{FF2B5EF4-FFF2-40B4-BE49-F238E27FC236}">
              <a16:creationId xmlns:a16="http://schemas.microsoft.com/office/drawing/2014/main" id="{A017D092-A692-406B-9DD4-341ECC20B4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472440</xdr:colOff>
      <xdr:row>25</xdr:row>
      <xdr:rowOff>38100</xdr:rowOff>
    </xdr:from>
    <xdr:to>
      <xdr:col>11</xdr:col>
      <xdr:colOff>419100</xdr:colOff>
      <xdr:row>38</xdr:row>
      <xdr:rowOff>83820</xdr:rowOff>
    </xdr:to>
    <xdr:graphicFrame macro="">
      <xdr:nvGraphicFramePr>
        <xdr:cNvPr id="44" name="Chart 43">
          <a:extLst>
            <a:ext uri="{FF2B5EF4-FFF2-40B4-BE49-F238E27FC236}">
              <a16:creationId xmlns:a16="http://schemas.microsoft.com/office/drawing/2014/main" id="{019C0C4C-4FD4-43FA-941B-4C7A61638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335280</xdr:colOff>
      <xdr:row>26</xdr:row>
      <xdr:rowOff>129540</xdr:rowOff>
    </xdr:from>
    <xdr:to>
      <xdr:col>20</xdr:col>
      <xdr:colOff>213360</xdr:colOff>
      <xdr:row>38</xdr:row>
      <xdr:rowOff>137160</xdr:rowOff>
    </xdr:to>
    <xdr:graphicFrame macro="">
      <xdr:nvGraphicFramePr>
        <xdr:cNvPr id="45" name="Chart 44">
          <a:extLst>
            <a:ext uri="{FF2B5EF4-FFF2-40B4-BE49-F238E27FC236}">
              <a16:creationId xmlns:a16="http://schemas.microsoft.com/office/drawing/2014/main" id="{5134DE5D-5946-4746-BD29-D4749CBD9A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4</xdr:col>
      <xdr:colOff>60960</xdr:colOff>
      <xdr:row>6</xdr:row>
      <xdr:rowOff>83820</xdr:rowOff>
    </xdr:from>
    <xdr:to>
      <xdr:col>4</xdr:col>
      <xdr:colOff>456960</xdr:colOff>
      <xdr:row>8</xdr:row>
      <xdr:rowOff>114060</xdr:rowOff>
    </xdr:to>
    <xdr:pic>
      <xdr:nvPicPr>
        <xdr:cNvPr id="47" name="Graphic 46" descr="Piggy Bank with solid fill">
          <a:extLst>
            <a:ext uri="{FF2B5EF4-FFF2-40B4-BE49-F238E27FC236}">
              <a16:creationId xmlns:a16="http://schemas.microsoft.com/office/drawing/2014/main" id="{9B58F62F-8583-D209-6868-FF674BAFD405}"/>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99360" y="1181100"/>
          <a:ext cx="396000" cy="396000"/>
        </a:xfrm>
        <a:prstGeom prst="rect">
          <a:avLst/>
        </a:prstGeom>
      </xdr:spPr>
    </xdr:pic>
    <xdr:clientData/>
  </xdr:twoCellAnchor>
  <xdr:twoCellAnchor editAs="oneCell">
    <xdr:from>
      <xdr:col>7</xdr:col>
      <xdr:colOff>508140</xdr:colOff>
      <xdr:row>6</xdr:row>
      <xdr:rowOff>103860</xdr:rowOff>
    </xdr:from>
    <xdr:to>
      <xdr:col>8</xdr:col>
      <xdr:colOff>425112</xdr:colOff>
      <xdr:row>8</xdr:row>
      <xdr:rowOff>98100</xdr:rowOff>
    </xdr:to>
    <xdr:pic>
      <xdr:nvPicPr>
        <xdr:cNvPr id="49" name="Graphic 48" descr="Coins with solid fill">
          <a:extLst>
            <a:ext uri="{FF2B5EF4-FFF2-40B4-BE49-F238E27FC236}">
              <a16:creationId xmlns:a16="http://schemas.microsoft.com/office/drawing/2014/main" id="{3B907288-2D6D-671A-6363-9688B1F3D38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4775340" y="1201140"/>
          <a:ext cx="526572" cy="360000"/>
        </a:xfrm>
        <a:prstGeom prst="rect">
          <a:avLst/>
        </a:prstGeom>
      </xdr:spPr>
    </xdr:pic>
    <xdr:clientData/>
  </xdr:twoCellAnchor>
  <xdr:twoCellAnchor editAs="oneCell">
    <xdr:from>
      <xdr:col>11</xdr:col>
      <xdr:colOff>498120</xdr:colOff>
      <xdr:row>6</xdr:row>
      <xdr:rowOff>71400</xdr:rowOff>
    </xdr:from>
    <xdr:to>
      <xdr:col>12</xdr:col>
      <xdr:colOff>248520</xdr:colOff>
      <xdr:row>8</xdr:row>
      <xdr:rowOff>65640</xdr:rowOff>
    </xdr:to>
    <xdr:pic>
      <xdr:nvPicPr>
        <xdr:cNvPr id="51" name="Graphic 50" descr="Upward trend with solid fill">
          <a:extLst>
            <a:ext uri="{FF2B5EF4-FFF2-40B4-BE49-F238E27FC236}">
              <a16:creationId xmlns:a16="http://schemas.microsoft.com/office/drawing/2014/main" id="{B20DA884-0CB8-59C2-5F57-36CD304CF0FC}"/>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7203720" y="1168680"/>
          <a:ext cx="360000" cy="360000"/>
        </a:xfrm>
        <a:prstGeom prst="rect">
          <a:avLst/>
        </a:prstGeom>
      </xdr:spPr>
    </xdr:pic>
    <xdr:clientData/>
  </xdr:twoCellAnchor>
  <xdr:twoCellAnchor editAs="oneCell">
    <xdr:from>
      <xdr:col>0</xdr:col>
      <xdr:colOff>84238</xdr:colOff>
      <xdr:row>6</xdr:row>
      <xdr:rowOff>106680</xdr:rowOff>
    </xdr:from>
    <xdr:to>
      <xdr:col>1</xdr:col>
      <xdr:colOff>1210</xdr:colOff>
      <xdr:row>8</xdr:row>
      <xdr:rowOff>100920</xdr:rowOff>
    </xdr:to>
    <xdr:pic>
      <xdr:nvPicPr>
        <xdr:cNvPr id="53" name="Graphic 52" descr="Bank with solid fill">
          <a:extLst>
            <a:ext uri="{FF2B5EF4-FFF2-40B4-BE49-F238E27FC236}">
              <a16:creationId xmlns:a16="http://schemas.microsoft.com/office/drawing/2014/main" id="{7E062F43-8F90-A129-09B8-8AAC837932E9}"/>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84238" y="1203960"/>
          <a:ext cx="526572" cy="360000"/>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0T14:24:12.912"/>
    </inkml:context>
    <inkml:brush xml:id="br0">
      <inkml:brushProperty name="width" value="0.035" units="cm"/>
      <inkml:brushProperty name="height" value="0.035" units="cm"/>
    </inkml:brush>
  </inkml:definitions>
  <inkml:trace contextRef="#ctx0" brushRef="#br0">1 1 24575,'0'0'-8191</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0T14:25:14.153"/>
    </inkml:context>
    <inkml:brush xml:id="br0">
      <inkml:brushProperty name="width" value="0.035" units="cm"/>
      <inkml:brushProperty name="height" value="0.035" units="cm"/>
    </inkml:brush>
  </inkml:definitions>
  <inkml:trace contextRef="#ctx0" brushRef="#br0">1 170 24575,'0'0'-8191</inkml:trace>
  <inkml:trace contextRef="#ctx0" brushRef="#br0" timeOffset="1224.64">86 1 24575,'0'0'-8191</inkml:trace>
  <inkml:trace contextRef="#ctx0" brushRef="#br0" timeOffset="1394.74">86 1 24575,'0'0'-8191</inkml:trace>
  <inkml:trace contextRef="#ctx0" brushRef="#br0" timeOffset="1596.51">86 1 24575,'0'0'-8191</inkml:trace>
  <inkml:trace contextRef="#ctx0" brushRef="#br0" timeOffset="1783.94">86 1 24575,'0'0'-8191</inkml:trace>
  <inkml:trace contextRef="#ctx0" brushRef="#br0" timeOffset="3966.49">7304 2900 24575,'0'0'-8191</inkml:trace>
  <inkml:trace contextRef="#ctx0" brushRef="#br0" timeOffset="4155.26">7304 2900 24575,'0'0'-8191</inkml:trace>
  <inkml:trace contextRef="#ctx0" brushRef="#br0" timeOffset="4341.09">7304 2900 24575,'0'0'-8191</inkml:trace>
  <inkml:trace contextRef="#ctx0" brushRef="#br0" timeOffset="4515.04">7304 2900 24575,'0'0'-8191</inkml:trace>
  <inkml:trace contextRef="#ctx0" brushRef="#br0" timeOffset="4732.83">7304 2900 24575,'0'0'-8191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traceFormat>
        <inkml:channelProperties>
          <inkml:channelProperty channel="X" name="resolution" value="1000" units="1/cm"/>
          <inkml:channelProperty channel="Y" name="resolution" value="1000" units="1/cm"/>
        </inkml:channelProperties>
      </inkml:inkSource>
      <inkml:timestamp xml:id="ts0" timeString="2026-06-10T14:26:37.152"/>
    </inkml:context>
    <inkml:brush xml:id="br0">
      <inkml:brushProperty name="width" value="0.05" units="cm"/>
      <inkml:brushProperty name="height" value="0.3" units="cm"/>
      <inkml:brushProperty name="color" value="#849398"/>
      <inkml:brushProperty name="ignorePressure" value="1"/>
      <inkml:brushProperty name="inkEffects" value="pencil"/>
    </inkml:brush>
  </inkml:definitions>
  <inkml:trace contextRef="#ctx0" brushRef="#br0">3616 1063,'0'0</inkml:trace>
  <inkml:trace contextRef="#ctx0" brushRef="#br0" timeOffset="54.98">3616 1063,'0'0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6-06-10T14:29:37.411"/>
    </inkml:context>
    <inkml:brush xml:id="br0">
      <inkml:brushProperty name="width" value="0.1" units="cm"/>
      <inkml:brushProperty name="height" value="0.1" units="cm"/>
      <inkml:brushProperty name="color" value="#004F8B"/>
    </inkml:brush>
  </inkml:definitions>
  <inkml:trace contextRef="#ctx0" brushRef="#br0">1 0 8192</inkml:trace>
  <inkml:trace contextRef="#ctx0" brushRef="#br0" timeOffset="380.41">1 0 8192</inkml:trace>
</inkm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4.25002349537" createdVersion="8" refreshedVersion="8" minRefreshableVersion="3" recordCount="2000" xr:uid="{13A7CFE9-3B52-4883-BBDE-A4D6A59C9109}">
  <cacheSource type="worksheet">
    <worksheetSource name="Table1"/>
  </cacheSource>
  <cacheFields count="9">
    <cacheField name="Date" numFmtId="0">
      <sharedItems/>
    </cacheField>
    <cacheField name="Sales Person" numFmtId="0">
      <sharedItems count="10">
        <s v="Grace"/>
        <s v="Connor"/>
        <s v="Anna"/>
        <s v="Cameron"/>
        <s v="Carolyn"/>
        <s v="Ella"/>
        <s v="Megan"/>
        <s v="Nicholas"/>
        <s v="Virginia"/>
        <s v="Andrew"/>
      </sharedItems>
    </cacheField>
    <cacheField name="Region" numFmtId="0">
      <sharedItems count="4">
        <s v="South"/>
        <s v="North"/>
        <s v="West"/>
        <s v="East"/>
      </sharedItems>
    </cacheField>
    <cacheField name="Product" numFmtId="0">
      <sharedItems count="7">
        <s v="Blender"/>
        <s v="Sneakers"/>
        <s v="Tent"/>
        <s v="Moisturizer"/>
        <s v="Action Figure"/>
        <s v="Novel"/>
        <s v="Smartphone"/>
      </sharedItems>
    </cacheField>
    <cacheField name="Units Sold" numFmtId="0">
      <sharedItems containsSemiMixedTypes="0" containsString="0" containsNumber="1" containsInteger="1" minValue="50" maxValue="150"/>
    </cacheField>
    <cacheField name="Unit Price" numFmtId="0">
      <sharedItems containsSemiMixedTypes="0" containsString="0" containsNumber="1" containsInteger="1" minValue="600" maxValue="10000"/>
    </cacheField>
    <cacheField name="Cost of Goods" numFmtId="0">
      <sharedItems containsSemiMixedTypes="0" containsString="0" containsNumber="1" containsInteger="1" minValue="400" maxValue="7000"/>
    </cacheField>
    <cacheField name="Total Sales" numFmtId="0">
      <sharedItems containsSemiMixedTypes="0" containsString="0" containsNumber="1" containsInteger="1" minValue="30000" maxValue="1500000"/>
    </cacheField>
    <cacheField name="Profit" numFmtId="0">
      <sharedItems containsSemiMixedTypes="0" containsString="0" containsNumber="1" containsInteger="1" minValue="10000" maxValue="450000"/>
    </cacheField>
  </cacheFields>
  <extLst>
    <ext xmlns:x14="http://schemas.microsoft.com/office/spreadsheetml/2009/9/main" uri="{725AE2AE-9491-48be-B2B4-4EB974FC3084}">
      <x14:pivotCacheDefinition pivotCacheId="19769342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s v="18-03-2021"/>
    <x v="0"/>
    <x v="0"/>
    <x v="0"/>
    <n v="150"/>
    <n v="3500"/>
    <n v="2500"/>
    <n v="525000"/>
    <n v="150000"/>
  </r>
  <r>
    <s v="02-08-2021"/>
    <x v="1"/>
    <x v="1"/>
    <x v="1"/>
    <n v="84"/>
    <n v="4000"/>
    <n v="3000"/>
    <n v="336000"/>
    <n v="84000"/>
  </r>
  <r>
    <s v="21-12-2020"/>
    <x v="1"/>
    <x v="2"/>
    <x v="2"/>
    <n v="101"/>
    <n v="6000"/>
    <n v="4000"/>
    <n v="606000"/>
    <n v="202000"/>
  </r>
  <r>
    <s v="04-04-2020"/>
    <x v="2"/>
    <x v="2"/>
    <x v="3"/>
    <n v="133"/>
    <n v="600"/>
    <n v="400"/>
    <n v="79800"/>
    <n v="26600"/>
  </r>
  <r>
    <s v="25-06-2021"/>
    <x v="3"/>
    <x v="0"/>
    <x v="4"/>
    <n v="86"/>
    <n v="1200"/>
    <n v="800"/>
    <n v="103200"/>
    <n v="34400"/>
  </r>
  <r>
    <s v="15-10-2020"/>
    <x v="0"/>
    <x v="3"/>
    <x v="1"/>
    <n v="113"/>
    <n v="4000"/>
    <n v="3000"/>
    <n v="452000"/>
    <n v="113000"/>
  </r>
  <r>
    <s v="11-07-2021"/>
    <x v="4"/>
    <x v="0"/>
    <x v="4"/>
    <n v="105"/>
    <n v="1200"/>
    <n v="800"/>
    <n v="126000"/>
    <n v="42000"/>
  </r>
  <r>
    <s v="08-03-2020"/>
    <x v="5"/>
    <x v="3"/>
    <x v="5"/>
    <n v="54"/>
    <n v="1000"/>
    <n v="700"/>
    <n v="54000"/>
    <n v="16200"/>
  </r>
  <r>
    <s v="08-07-2021"/>
    <x v="3"/>
    <x v="2"/>
    <x v="4"/>
    <n v="143"/>
    <n v="1200"/>
    <n v="800"/>
    <n v="171600"/>
    <n v="57200"/>
  </r>
  <r>
    <s v="14-02-2020"/>
    <x v="3"/>
    <x v="1"/>
    <x v="6"/>
    <n v="62"/>
    <n v="10000"/>
    <n v="7000"/>
    <n v="620000"/>
    <n v="186000"/>
  </r>
  <r>
    <s v="03-03-2021"/>
    <x v="6"/>
    <x v="3"/>
    <x v="6"/>
    <n v="114"/>
    <n v="10000"/>
    <n v="7000"/>
    <n v="1140000"/>
    <n v="342000"/>
  </r>
  <r>
    <s v="10-10-2021"/>
    <x v="4"/>
    <x v="3"/>
    <x v="2"/>
    <n v="129"/>
    <n v="6000"/>
    <n v="4000"/>
    <n v="774000"/>
    <n v="258000"/>
  </r>
  <r>
    <s v="16-11-2021"/>
    <x v="4"/>
    <x v="1"/>
    <x v="3"/>
    <n v="63"/>
    <n v="600"/>
    <n v="400"/>
    <n v="37800"/>
    <n v="12600"/>
  </r>
  <r>
    <s v="02-09-2021"/>
    <x v="7"/>
    <x v="2"/>
    <x v="3"/>
    <n v="100"/>
    <n v="600"/>
    <n v="400"/>
    <n v="60000"/>
    <n v="20000"/>
  </r>
  <r>
    <s v="28-03-2020"/>
    <x v="7"/>
    <x v="1"/>
    <x v="4"/>
    <n v="143"/>
    <n v="1200"/>
    <n v="800"/>
    <n v="171600"/>
    <n v="57200"/>
  </r>
  <r>
    <s v="05-11-2020"/>
    <x v="8"/>
    <x v="2"/>
    <x v="1"/>
    <n v="147"/>
    <n v="4000"/>
    <n v="3000"/>
    <n v="588000"/>
    <n v="147000"/>
  </r>
  <r>
    <s v="08-06-2020"/>
    <x v="1"/>
    <x v="3"/>
    <x v="0"/>
    <n v="146"/>
    <n v="3500"/>
    <n v="2500"/>
    <n v="511000"/>
    <n v="146000"/>
  </r>
  <r>
    <s v="24-12-2020"/>
    <x v="5"/>
    <x v="3"/>
    <x v="0"/>
    <n v="115"/>
    <n v="3500"/>
    <n v="2500"/>
    <n v="402500"/>
    <n v="115000"/>
  </r>
  <r>
    <s v="13-11-2021"/>
    <x v="4"/>
    <x v="2"/>
    <x v="0"/>
    <n v="130"/>
    <n v="3500"/>
    <n v="2500"/>
    <n v="455000"/>
    <n v="130000"/>
  </r>
  <r>
    <s v="22-08-2020"/>
    <x v="7"/>
    <x v="2"/>
    <x v="5"/>
    <n v="52"/>
    <n v="1000"/>
    <n v="700"/>
    <n v="52000"/>
    <n v="15600"/>
  </r>
  <r>
    <s v="25-08-2020"/>
    <x v="1"/>
    <x v="3"/>
    <x v="3"/>
    <n v="137"/>
    <n v="600"/>
    <n v="400"/>
    <n v="82200"/>
    <n v="27400"/>
  </r>
  <r>
    <s v="26-09-2020"/>
    <x v="1"/>
    <x v="3"/>
    <x v="2"/>
    <n v="63"/>
    <n v="6000"/>
    <n v="4000"/>
    <n v="378000"/>
    <n v="126000"/>
  </r>
  <r>
    <s v="20-08-2020"/>
    <x v="1"/>
    <x v="3"/>
    <x v="2"/>
    <n v="107"/>
    <n v="6000"/>
    <n v="4000"/>
    <n v="642000"/>
    <n v="214000"/>
  </r>
  <r>
    <s v="11-07-2021"/>
    <x v="2"/>
    <x v="3"/>
    <x v="5"/>
    <n v="73"/>
    <n v="1000"/>
    <n v="700"/>
    <n v="73000"/>
    <n v="21900"/>
  </r>
  <r>
    <s v="20-07-2020"/>
    <x v="3"/>
    <x v="3"/>
    <x v="3"/>
    <n v="65"/>
    <n v="600"/>
    <n v="400"/>
    <n v="39000"/>
    <n v="13000"/>
  </r>
  <r>
    <s v="09-05-2020"/>
    <x v="1"/>
    <x v="1"/>
    <x v="0"/>
    <n v="55"/>
    <n v="3500"/>
    <n v="2500"/>
    <n v="192500"/>
    <n v="55000"/>
  </r>
  <r>
    <s v="13-05-2021"/>
    <x v="1"/>
    <x v="3"/>
    <x v="0"/>
    <n v="141"/>
    <n v="3500"/>
    <n v="2500"/>
    <n v="493500"/>
    <n v="141000"/>
  </r>
  <r>
    <s v="16-07-2020"/>
    <x v="0"/>
    <x v="0"/>
    <x v="4"/>
    <n v="90"/>
    <n v="1200"/>
    <n v="800"/>
    <n v="108000"/>
    <n v="36000"/>
  </r>
  <r>
    <s v="03-05-2020"/>
    <x v="3"/>
    <x v="0"/>
    <x v="2"/>
    <n v="112"/>
    <n v="6000"/>
    <n v="4000"/>
    <n v="672000"/>
    <n v="224000"/>
  </r>
  <r>
    <s v="18-02-2021"/>
    <x v="2"/>
    <x v="2"/>
    <x v="5"/>
    <n v="69"/>
    <n v="1000"/>
    <n v="700"/>
    <n v="69000"/>
    <n v="20700"/>
  </r>
  <r>
    <s v="12-08-2021"/>
    <x v="9"/>
    <x v="0"/>
    <x v="1"/>
    <n v="130"/>
    <n v="4000"/>
    <n v="3000"/>
    <n v="520000"/>
    <n v="130000"/>
  </r>
  <r>
    <s v="09-03-2021"/>
    <x v="4"/>
    <x v="2"/>
    <x v="1"/>
    <n v="124"/>
    <n v="4000"/>
    <n v="3000"/>
    <n v="496000"/>
    <n v="124000"/>
  </r>
  <r>
    <s v="07-07-2020"/>
    <x v="4"/>
    <x v="2"/>
    <x v="5"/>
    <n v="87"/>
    <n v="1000"/>
    <n v="700"/>
    <n v="87000"/>
    <n v="26100"/>
  </r>
  <r>
    <s v="18-11-2020"/>
    <x v="7"/>
    <x v="1"/>
    <x v="3"/>
    <n v="113"/>
    <n v="600"/>
    <n v="400"/>
    <n v="67800"/>
    <n v="22600"/>
  </r>
  <r>
    <s v="05-09-2021"/>
    <x v="6"/>
    <x v="3"/>
    <x v="5"/>
    <n v="88"/>
    <n v="1000"/>
    <n v="700"/>
    <n v="88000"/>
    <n v="26400"/>
  </r>
  <r>
    <s v="23-10-2021"/>
    <x v="1"/>
    <x v="1"/>
    <x v="2"/>
    <n v="85"/>
    <n v="6000"/>
    <n v="4000"/>
    <n v="510000"/>
    <n v="170000"/>
  </r>
  <r>
    <s v="08-06-2021"/>
    <x v="4"/>
    <x v="2"/>
    <x v="5"/>
    <n v="142"/>
    <n v="1000"/>
    <n v="700"/>
    <n v="142000"/>
    <n v="42600"/>
  </r>
  <r>
    <s v="26-01-2020"/>
    <x v="0"/>
    <x v="1"/>
    <x v="3"/>
    <n v="129"/>
    <n v="600"/>
    <n v="400"/>
    <n v="77400"/>
    <n v="25800"/>
  </r>
  <r>
    <s v="29-05-2021"/>
    <x v="7"/>
    <x v="3"/>
    <x v="2"/>
    <n v="59"/>
    <n v="6000"/>
    <n v="4000"/>
    <n v="354000"/>
    <n v="118000"/>
  </r>
  <r>
    <s v="19-12-2020"/>
    <x v="0"/>
    <x v="1"/>
    <x v="6"/>
    <n v="77"/>
    <n v="10000"/>
    <n v="7000"/>
    <n v="770000"/>
    <n v="231000"/>
  </r>
  <r>
    <s v="11-12-2020"/>
    <x v="1"/>
    <x v="2"/>
    <x v="4"/>
    <n v="134"/>
    <n v="1200"/>
    <n v="800"/>
    <n v="160800"/>
    <n v="53600"/>
  </r>
  <r>
    <s v="27-06-2021"/>
    <x v="1"/>
    <x v="3"/>
    <x v="0"/>
    <n v="75"/>
    <n v="3500"/>
    <n v="2500"/>
    <n v="262500"/>
    <n v="75000"/>
  </r>
  <r>
    <s v="09-07-2021"/>
    <x v="6"/>
    <x v="2"/>
    <x v="4"/>
    <n v="124"/>
    <n v="1200"/>
    <n v="800"/>
    <n v="148800"/>
    <n v="49600"/>
  </r>
  <r>
    <s v="09-01-2021"/>
    <x v="9"/>
    <x v="2"/>
    <x v="5"/>
    <n v="130"/>
    <n v="1000"/>
    <n v="700"/>
    <n v="130000"/>
    <n v="39000"/>
  </r>
  <r>
    <s v="04-12-2020"/>
    <x v="2"/>
    <x v="3"/>
    <x v="4"/>
    <n v="94"/>
    <n v="1200"/>
    <n v="800"/>
    <n v="112800"/>
    <n v="37600"/>
  </r>
  <r>
    <s v="13-12-2020"/>
    <x v="9"/>
    <x v="3"/>
    <x v="2"/>
    <n v="59"/>
    <n v="6000"/>
    <n v="4000"/>
    <n v="354000"/>
    <n v="118000"/>
  </r>
  <r>
    <s v="29-10-2020"/>
    <x v="8"/>
    <x v="1"/>
    <x v="5"/>
    <n v="134"/>
    <n v="1000"/>
    <n v="700"/>
    <n v="134000"/>
    <n v="40200"/>
  </r>
  <r>
    <s v="30-01-2020"/>
    <x v="8"/>
    <x v="2"/>
    <x v="5"/>
    <n v="115"/>
    <n v="1000"/>
    <n v="700"/>
    <n v="115000"/>
    <n v="34500"/>
  </r>
  <r>
    <s v="22-10-2021"/>
    <x v="3"/>
    <x v="1"/>
    <x v="6"/>
    <n v="72"/>
    <n v="10000"/>
    <n v="7000"/>
    <n v="720000"/>
    <n v="216000"/>
  </r>
  <r>
    <s v="25-12-2020"/>
    <x v="7"/>
    <x v="0"/>
    <x v="1"/>
    <n v="101"/>
    <n v="4000"/>
    <n v="3000"/>
    <n v="404000"/>
    <n v="101000"/>
  </r>
  <r>
    <s v="12-09-2021"/>
    <x v="6"/>
    <x v="0"/>
    <x v="4"/>
    <n v="145"/>
    <n v="1200"/>
    <n v="800"/>
    <n v="174000"/>
    <n v="58000"/>
  </r>
  <r>
    <s v="20-09-2021"/>
    <x v="4"/>
    <x v="3"/>
    <x v="2"/>
    <n v="59"/>
    <n v="6000"/>
    <n v="4000"/>
    <n v="354000"/>
    <n v="118000"/>
  </r>
  <r>
    <s v="08-12-2020"/>
    <x v="9"/>
    <x v="1"/>
    <x v="4"/>
    <n v="54"/>
    <n v="1200"/>
    <n v="800"/>
    <n v="64800"/>
    <n v="21600"/>
  </r>
  <r>
    <s v="28-04-2021"/>
    <x v="7"/>
    <x v="1"/>
    <x v="4"/>
    <n v="125"/>
    <n v="1200"/>
    <n v="800"/>
    <n v="150000"/>
    <n v="50000"/>
  </r>
  <r>
    <s v="18-07-2021"/>
    <x v="1"/>
    <x v="0"/>
    <x v="3"/>
    <n v="101"/>
    <n v="600"/>
    <n v="400"/>
    <n v="60600"/>
    <n v="20200"/>
  </r>
  <r>
    <s v="19-05-2020"/>
    <x v="8"/>
    <x v="1"/>
    <x v="5"/>
    <n v="120"/>
    <n v="1000"/>
    <n v="700"/>
    <n v="120000"/>
    <n v="36000"/>
  </r>
  <r>
    <s v="26-10-2021"/>
    <x v="3"/>
    <x v="2"/>
    <x v="6"/>
    <n v="121"/>
    <n v="10000"/>
    <n v="7000"/>
    <n v="1210000"/>
    <n v="363000"/>
  </r>
  <r>
    <s v="19-12-2021"/>
    <x v="0"/>
    <x v="0"/>
    <x v="3"/>
    <n v="118"/>
    <n v="600"/>
    <n v="400"/>
    <n v="70800"/>
    <n v="23600"/>
  </r>
  <r>
    <s v="29-03-2020"/>
    <x v="4"/>
    <x v="3"/>
    <x v="3"/>
    <n v="110"/>
    <n v="600"/>
    <n v="400"/>
    <n v="66000"/>
    <n v="22000"/>
  </r>
  <r>
    <s v="12-07-2020"/>
    <x v="5"/>
    <x v="3"/>
    <x v="1"/>
    <n v="96"/>
    <n v="4000"/>
    <n v="3000"/>
    <n v="384000"/>
    <n v="96000"/>
  </r>
  <r>
    <s v="16-12-2021"/>
    <x v="4"/>
    <x v="1"/>
    <x v="0"/>
    <n v="115"/>
    <n v="3500"/>
    <n v="2500"/>
    <n v="402500"/>
    <n v="115000"/>
  </r>
  <r>
    <s v="29-11-2020"/>
    <x v="3"/>
    <x v="1"/>
    <x v="2"/>
    <n v="132"/>
    <n v="6000"/>
    <n v="4000"/>
    <n v="792000"/>
    <n v="264000"/>
  </r>
  <r>
    <s v="04-01-2020"/>
    <x v="7"/>
    <x v="1"/>
    <x v="0"/>
    <n v="62"/>
    <n v="3500"/>
    <n v="2500"/>
    <n v="217000"/>
    <n v="62000"/>
  </r>
  <r>
    <s v="23-01-2021"/>
    <x v="7"/>
    <x v="0"/>
    <x v="5"/>
    <n v="103"/>
    <n v="1000"/>
    <n v="700"/>
    <n v="103000"/>
    <n v="30900"/>
  </r>
  <r>
    <s v="11-06-2021"/>
    <x v="9"/>
    <x v="3"/>
    <x v="3"/>
    <n v="70"/>
    <n v="600"/>
    <n v="400"/>
    <n v="42000"/>
    <n v="14000"/>
  </r>
  <r>
    <s v="20-04-2021"/>
    <x v="9"/>
    <x v="3"/>
    <x v="0"/>
    <n v="142"/>
    <n v="3500"/>
    <n v="2500"/>
    <n v="497000"/>
    <n v="142000"/>
  </r>
  <r>
    <s v="27-08-2021"/>
    <x v="5"/>
    <x v="3"/>
    <x v="6"/>
    <n v="149"/>
    <n v="10000"/>
    <n v="7000"/>
    <n v="1490000"/>
    <n v="447000"/>
  </r>
  <r>
    <s v="20-11-2020"/>
    <x v="5"/>
    <x v="1"/>
    <x v="1"/>
    <n v="110"/>
    <n v="4000"/>
    <n v="3000"/>
    <n v="440000"/>
    <n v="110000"/>
  </r>
  <r>
    <s v="02-04-2020"/>
    <x v="0"/>
    <x v="3"/>
    <x v="4"/>
    <n v="98"/>
    <n v="1200"/>
    <n v="800"/>
    <n v="117600"/>
    <n v="39200"/>
  </r>
  <r>
    <s v="30-06-2021"/>
    <x v="7"/>
    <x v="2"/>
    <x v="3"/>
    <n v="59"/>
    <n v="600"/>
    <n v="400"/>
    <n v="35400"/>
    <n v="11800"/>
  </r>
  <r>
    <s v="22-05-2020"/>
    <x v="0"/>
    <x v="2"/>
    <x v="3"/>
    <n v="88"/>
    <n v="600"/>
    <n v="400"/>
    <n v="52800"/>
    <n v="17600"/>
  </r>
  <r>
    <s v="01-09-2021"/>
    <x v="2"/>
    <x v="3"/>
    <x v="0"/>
    <n v="150"/>
    <n v="3500"/>
    <n v="2500"/>
    <n v="525000"/>
    <n v="150000"/>
  </r>
  <r>
    <s v="05-05-2021"/>
    <x v="9"/>
    <x v="2"/>
    <x v="4"/>
    <n v="110"/>
    <n v="1200"/>
    <n v="800"/>
    <n v="132000"/>
    <n v="44000"/>
  </r>
  <r>
    <s v="03-06-2020"/>
    <x v="0"/>
    <x v="2"/>
    <x v="5"/>
    <n v="118"/>
    <n v="1000"/>
    <n v="700"/>
    <n v="118000"/>
    <n v="35400"/>
  </r>
  <r>
    <s v="07-05-2021"/>
    <x v="6"/>
    <x v="2"/>
    <x v="3"/>
    <n v="102"/>
    <n v="600"/>
    <n v="400"/>
    <n v="61200"/>
    <n v="20400"/>
  </r>
  <r>
    <s v="22-08-2021"/>
    <x v="0"/>
    <x v="3"/>
    <x v="2"/>
    <n v="145"/>
    <n v="6000"/>
    <n v="4000"/>
    <n v="870000"/>
    <n v="290000"/>
  </r>
  <r>
    <s v="10-02-2021"/>
    <x v="6"/>
    <x v="1"/>
    <x v="1"/>
    <n v="90"/>
    <n v="4000"/>
    <n v="3000"/>
    <n v="360000"/>
    <n v="90000"/>
  </r>
  <r>
    <s v="26-06-2020"/>
    <x v="3"/>
    <x v="2"/>
    <x v="5"/>
    <n v="88"/>
    <n v="1000"/>
    <n v="700"/>
    <n v="88000"/>
    <n v="26400"/>
  </r>
  <r>
    <s v="29-05-2020"/>
    <x v="6"/>
    <x v="2"/>
    <x v="6"/>
    <n v="87"/>
    <n v="10000"/>
    <n v="7000"/>
    <n v="870000"/>
    <n v="261000"/>
  </r>
  <r>
    <s v="14-10-2020"/>
    <x v="6"/>
    <x v="0"/>
    <x v="1"/>
    <n v="111"/>
    <n v="4000"/>
    <n v="3000"/>
    <n v="444000"/>
    <n v="111000"/>
  </r>
  <r>
    <s v="07-09-2020"/>
    <x v="1"/>
    <x v="0"/>
    <x v="3"/>
    <n v="50"/>
    <n v="600"/>
    <n v="400"/>
    <n v="30000"/>
    <n v="10000"/>
  </r>
  <r>
    <s v="25-12-2021"/>
    <x v="4"/>
    <x v="3"/>
    <x v="3"/>
    <n v="128"/>
    <n v="600"/>
    <n v="400"/>
    <n v="76800"/>
    <n v="25600"/>
  </r>
  <r>
    <s v="05-10-2020"/>
    <x v="6"/>
    <x v="3"/>
    <x v="5"/>
    <n v="108"/>
    <n v="1000"/>
    <n v="700"/>
    <n v="108000"/>
    <n v="32400"/>
  </r>
  <r>
    <s v="13-02-2021"/>
    <x v="7"/>
    <x v="3"/>
    <x v="3"/>
    <n v="142"/>
    <n v="600"/>
    <n v="400"/>
    <n v="85200"/>
    <n v="28400"/>
  </r>
  <r>
    <s v="23-01-2020"/>
    <x v="9"/>
    <x v="1"/>
    <x v="0"/>
    <n v="100"/>
    <n v="3500"/>
    <n v="2500"/>
    <n v="350000"/>
    <n v="100000"/>
  </r>
  <r>
    <s v="30-01-2021"/>
    <x v="6"/>
    <x v="1"/>
    <x v="3"/>
    <n v="80"/>
    <n v="600"/>
    <n v="400"/>
    <n v="48000"/>
    <n v="16000"/>
  </r>
  <r>
    <s v="01-09-2021"/>
    <x v="3"/>
    <x v="3"/>
    <x v="6"/>
    <n v="92"/>
    <n v="10000"/>
    <n v="7000"/>
    <n v="920000"/>
    <n v="276000"/>
  </r>
  <r>
    <s v="17-10-2021"/>
    <x v="5"/>
    <x v="0"/>
    <x v="2"/>
    <n v="68"/>
    <n v="6000"/>
    <n v="4000"/>
    <n v="408000"/>
    <n v="136000"/>
  </r>
  <r>
    <s v="29-05-2021"/>
    <x v="0"/>
    <x v="0"/>
    <x v="5"/>
    <n v="91"/>
    <n v="1000"/>
    <n v="700"/>
    <n v="91000"/>
    <n v="27300"/>
  </r>
  <r>
    <s v="27-12-2020"/>
    <x v="2"/>
    <x v="0"/>
    <x v="1"/>
    <n v="78"/>
    <n v="4000"/>
    <n v="3000"/>
    <n v="312000"/>
    <n v="78000"/>
  </r>
  <r>
    <s v="06-06-2020"/>
    <x v="4"/>
    <x v="2"/>
    <x v="3"/>
    <n v="120"/>
    <n v="600"/>
    <n v="400"/>
    <n v="72000"/>
    <n v="24000"/>
  </r>
  <r>
    <s v="07-10-2021"/>
    <x v="2"/>
    <x v="3"/>
    <x v="6"/>
    <n v="99"/>
    <n v="10000"/>
    <n v="7000"/>
    <n v="990000"/>
    <n v="297000"/>
  </r>
  <r>
    <s v="10-10-2021"/>
    <x v="6"/>
    <x v="3"/>
    <x v="1"/>
    <n v="141"/>
    <n v="4000"/>
    <n v="3000"/>
    <n v="564000"/>
    <n v="141000"/>
  </r>
  <r>
    <s v="07-02-2020"/>
    <x v="1"/>
    <x v="2"/>
    <x v="4"/>
    <n v="82"/>
    <n v="1200"/>
    <n v="800"/>
    <n v="98400"/>
    <n v="32800"/>
  </r>
  <r>
    <s v="29-09-2020"/>
    <x v="3"/>
    <x v="0"/>
    <x v="1"/>
    <n v="78"/>
    <n v="4000"/>
    <n v="3000"/>
    <n v="312000"/>
    <n v="78000"/>
  </r>
  <r>
    <s v="09-01-2021"/>
    <x v="8"/>
    <x v="2"/>
    <x v="0"/>
    <n v="71"/>
    <n v="3500"/>
    <n v="2500"/>
    <n v="248500"/>
    <n v="71000"/>
  </r>
  <r>
    <s v="20-12-2021"/>
    <x v="0"/>
    <x v="0"/>
    <x v="6"/>
    <n v="63"/>
    <n v="10000"/>
    <n v="7000"/>
    <n v="630000"/>
    <n v="189000"/>
  </r>
  <r>
    <s v="03-09-2020"/>
    <x v="6"/>
    <x v="1"/>
    <x v="6"/>
    <n v="50"/>
    <n v="10000"/>
    <n v="7000"/>
    <n v="500000"/>
    <n v="150000"/>
  </r>
  <r>
    <s v="12-03-2020"/>
    <x v="4"/>
    <x v="0"/>
    <x v="2"/>
    <n v="98"/>
    <n v="6000"/>
    <n v="4000"/>
    <n v="588000"/>
    <n v="196000"/>
  </r>
  <r>
    <s v="18-08-2021"/>
    <x v="3"/>
    <x v="0"/>
    <x v="6"/>
    <n v="64"/>
    <n v="10000"/>
    <n v="7000"/>
    <n v="640000"/>
    <n v="192000"/>
  </r>
  <r>
    <s v="04-01-2021"/>
    <x v="4"/>
    <x v="0"/>
    <x v="6"/>
    <n v="87"/>
    <n v="10000"/>
    <n v="7000"/>
    <n v="870000"/>
    <n v="261000"/>
  </r>
  <r>
    <s v="23-11-2021"/>
    <x v="6"/>
    <x v="3"/>
    <x v="5"/>
    <n v="67"/>
    <n v="1000"/>
    <n v="700"/>
    <n v="67000"/>
    <n v="20100"/>
  </r>
  <r>
    <s v="05-05-2020"/>
    <x v="9"/>
    <x v="1"/>
    <x v="1"/>
    <n v="150"/>
    <n v="4000"/>
    <n v="3000"/>
    <n v="600000"/>
    <n v="150000"/>
  </r>
  <r>
    <s v="12-11-2021"/>
    <x v="5"/>
    <x v="2"/>
    <x v="5"/>
    <n v="86"/>
    <n v="1000"/>
    <n v="700"/>
    <n v="86000"/>
    <n v="25800"/>
  </r>
  <r>
    <s v="30-05-2021"/>
    <x v="3"/>
    <x v="0"/>
    <x v="5"/>
    <n v="110"/>
    <n v="1000"/>
    <n v="700"/>
    <n v="110000"/>
    <n v="33000"/>
  </r>
  <r>
    <s v="20-12-2021"/>
    <x v="5"/>
    <x v="3"/>
    <x v="6"/>
    <n v="117"/>
    <n v="10000"/>
    <n v="7000"/>
    <n v="1170000"/>
    <n v="351000"/>
  </r>
  <r>
    <s v="04-11-2020"/>
    <x v="1"/>
    <x v="3"/>
    <x v="0"/>
    <n v="62"/>
    <n v="3500"/>
    <n v="2500"/>
    <n v="217000"/>
    <n v="62000"/>
  </r>
  <r>
    <s v="21-03-2021"/>
    <x v="9"/>
    <x v="3"/>
    <x v="3"/>
    <n v="129"/>
    <n v="600"/>
    <n v="400"/>
    <n v="77400"/>
    <n v="25800"/>
  </r>
  <r>
    <s v="10-07-2021"/>
    <x v="2"/>
    <x v="1"/>
    <x v="1"/>
    <n v="57"/>
    <n v="4000"/>
    <n v="3000"/>
    <n v="228000"/>
    <n v="57000"/>
  </r>
  <r>
    <s v="29-12-2021"/>
    <x v="6"/>
    <x v="0"/>
    <x v="3"/>
    <n v="88"/>
    <n v="600"/>
    <n v="400"/>
    <n v="52800"/>
    <n v="17600"/>
  </r>
  <r>
    <s v="01-12-2020"/>
    <x v="2"/>
    <x v="3"/>
    <x v="3"/>
    <n v="102"/>
    <n v="600"/>
    <n v="400"/>
    <n v="61200"/>
    <n v="20400"/>
  </r>
  <r>
    <s v="25-03-2021"/>
    <x v="1"/>
    <x v="2"/>
    <x v="2"/>
    <n v="107"/>
    <n v="6000"/>
    <n v="4000"/>
    <n v="642000"/>
    <n v="214000"/>
  </r>
  <r>
    <s v="19-09-2020"/>
    <x v="4"/>
    <x v="1"/>
    <x v="1"/>
    <n v="133"/>
    <n v="4000"/>
    <n v="3000"/>
    <n v="532000"/>
    <n v="133000"/>
  </r>
  <r>
    <s v="09-10-2021"/>
    <x v="1"/>
    <x v="2"/>
    <x v="2"/>
    <n v="124"/>
    <n v="6000"/>
    <n v="4000"/>
    <n v="744000"/>
    <n v="248000"/>
  </r>
  <r>
    <s v="12-12-2021"/>
    <x v="0"/>
    <x v="3"/>
    <x v="5"/>
    <n v="115"/>
    <n v="1000"/>
    <n v="700"/>
    <n v="115000"/>
    <n v="34500"/>
  </r>
  <r>
    <s v="22-09-2020"/>
    <x v="7"/>
    <x v="1"/>
    <x v="2"/>
    <n v="129"/>
    <n v="6000"/>
    <n v="4000"/>
    <n v="774000"/>
    <n v="258000"/>
  </r>
  <r>
    <s v="05-08-2021"/>
    <x v="2"/>
    <x v="3"/>
    <x v="0"/>
    <n v="131"/>
    <n v="3500"/>
    <n v="2500"/>
    <n v="458500"/>
    <n v="131000"/>
  </r>
  <r>
    <s v="23-07-2021"/>
    <x v="4"/>
    <x v="2"/>
    <x v="0"/>
    <n v="148"/>
    <n v="3500"/>
    <n v="2500"/>
    <n v="518000"/>
    <n v="148000"/>
  </r>
  <r>
    <s v="11-06-2021"/>
    <x v="6"/>
    <x v="0"/>
    <x v="6"/>
    <n v="80"/>
    <n v="10000"/>
    <n v="7000"/>
    <n v="800000"/>
    <n v="240000"/>
  </r>
  <r>
    <s v="26-11-2021"/>
    <x v="9"/>
    <x v="3"/>
    <x v="5"/>
    <n v="103"/>
    <n v="1000"/>
    <n v="700"/>
    <n v="103000"/>
    <n v="30900"/>
  </r>
  <r>
    <s v="23-07-2021"/>
    <x v="0"/>
    <x v="1"/>
    <x v="4"/>
    <n v="148"/>
    <n v="1200"/>
    <n v="800"/>
    <n v="177600"/>
    <n v="59200"/>
  </r>
  <r>
    <s v="23-07-2021"/>
    <x v="2"/>
    <x v="3"/>
    <x v="0"/>
    <n v="91"/>
    <n v="3500"/>
    <n v="2500"/>
    <n v="318500"/>
    <n v="91000"/>
  </r>
  <r>
    <s v="10-01-2021"/>
    <x v="7"/>
    <x v="0"/>
    <x v="4"/>
    <n v="60"/>
    <n v="1200"/>
    <n v="800"/>
    <n v="72000"/>
    <n v="24000"/>
  </r>
  <r>
    <s v="23-07-2021"/>
    <x v="0"/>
    <x v="3"/>
    <x v="1"/>
    <n v="138"/>
    <n v="4000"/>
    <n v="3000"/>
    <n v="552000"/>
    <n v="138000"/>
  </r>
  <r>
    <s v="14-03-2020"/>
    <x v="7"/>
    <x v="1"/>
    <x v="2"/>
    <n v="72"/>
    <n v="6000"/>
    <n v="4000"/>
    <n v="432000"/>
    <n v="144000"/>
  </r>
  <r>
    <s v="26-03-2020"/>
    <x v="9"/>
    <x v="1"/>
    <x v="0"/>
    <n v="113"/>
    <n v="3500"/>
    <n v="2500"/>
    <n v="395500"/>
    <n v="113000"/>
  </r>
  <r>
    <s v="24-07-2020"/>
    <x v="8"/>
    <x v="1"/>
    <x v="5"/>
    <n v="125"/>
    <n v="1000"/>
    <n v="700"/>
    <n v="125000"/>
    <n v="37500"/>
  </r>
  <r>
    <s v="18-08-2020"/>
    <x v="3"/>
    <x v="2"/>
    <x v="2"/>
    <n v="50"/>
    <n v="6000"/>
    <n v="4000"/>
    <n v="300000"/>
    <n v="100000"/>
  </r>
  <r>
    <s v="01-05-2020"/>
    <x v="2"/>
    <x v="2"/>
    <x v="0"/>
    <n v="117"/>
    <n v="3500"/>
    <n v="2500"/>
    <n v="409500"/>
    <n v="117000"/>
  </r>
  <r>
    <s v="26-07-2020"/>
    <x v="4"/>
    <x v="1"/>
    <x v="2"/>
    <n v="79"/>
    <n v="6000"/>
    <n v="4000"/>
    <n v="474000"/>
    <n v="158000"/>
  </r>
  <r>
    <s v="07-05-2021"/>
    <x v="1"/>
    <x v="3"/>
    <x v="6"/>
    <n v="135"/>
    <n v="10000"/>
    <n v="7000"/>
    <n v="1350000"/>
    <n v="405000"/>
  </r>
  <r>
    <s v="26-05-2020"/>
    <x v="9"/>
    <x v="0"/>
    <x v="4"/>
    <n v="143"/>
    <n v="1200"/>
    <n v="800"/>
    <n v="171600"/>
    <n v="57200"/>
  </r>
  <r>
    <s v="05-09-2021"/>
    <x v="3"/>
    <x v="2"/>
    <x v="0"/>
    <n v="121"/>
    <n v="3500"/>
    <n v="2500"/>
    <n v="423500"/>
    <n v="121000"/>
  </r>
  <r>
    <s v="27-02-2021"/>
    <x v="3"/>
    <x v="0"/>
    <x v="5"/>
    <n v="116"/>
    <n v="1000"/>
    <n v="700"/>
    <n v="116000"/>
    <n v="34800"/>
  </r>
  <r>
    <s v="10-03-2021"/>
    <x v="5"/>
    <x v="3"/>
    <x v="2"/>
    <n v="66"/>
    <n v="6000"/>
    <n v="4000"/>
    <n v="396000"/>
    <n v="132000"/>
  </r>
  <r>
    <s v="19-07-2021"/>
    <x v="1"/>
    <x v="2"/>
    <x v="4"/>
    <n v="129"/>
    <n v="1200"/>
    <n v="800"/>
    <n v="154800"/>
    <n v="51600"/>
  </r>
  <r>
    <s v="28-04-2021"/>
    <x v="4"/>
    <x v="3"/>
    <x v="1"/>
    <n v="86"/>
    <n v="4000"/>
    <n v="3000"/>
    <n v="344000"/>
    <n v="86000"/>
  </r>
  <r>
    <s v="10-03-2021"/>
    <x v="2"/>
    <x v="3"/>
    <x v="4"/>
    <n v="132"/>
    <n v="1200"/>
    <n v="800"/>
    <n v="158400"/>
    <n v="52800"/>
  </r>
  <r>
    <s v="18-03-2020"/>
    <x v="2"/>
    <x v="2"/>
    <x v="0"/>
    <n v="83"/>
    <n v="3500"/>
    <n v="2500"/>
    <n v="290500"/>
    <n v="83000"/>
  </r>
  <r>
    <s v="01-02-2021"/>
    <x v="3"/>
    <x v="0"/>
    <x v="5"/>
    <n v="117"/>
    <n v="1000"/>
    <n v="700"/>
    <n v="117000"/>
    <n v="35100"/>
  </r>
  <r>
    <s v="20-12-2021"/>
    <x v="7"/>
    <x v="0"/>
    <x v="1"/>
    <n v="89"/>
    <n v="4000"/>
    <n v="3000"/>
    <n v="356000"/>
    <n v="89000"/>
  </r>
  <r>
    <s v="13-01-2020"/>
    <x v="3"/>
    <x v="3"/>
    <x v="6"/>
    <n v="82"/>
    <n v="10000"/>
    <n v="7000"/>
    <n v="820000"/>
    <n v="246000"/>
  </r>
  <r>
    <s v="14-07-2020"/>
    <x v="7"/>
    <x v="2"/>
    <x v="0"/>
    <n v="140"/>
    <n v="3500"/>
    <n v="2500"/>
    <n v="490000"/>
    <n v="140000"/>
  </r>
  <r>
    <s v="22-01-2020"/>
    <x v="5"/>
    <x v="0"/>
    <x v="5"/>
    <n v="129"/>
    <n v="1000"/>
    <n v="700"/>
    <n v="129000"/>
    <n v="38700"/>
  </r>
  <r>
    <s v="12-03-2021"/>
    <x v="2"/>
    <x v="3"/>
    <x v="3"/>
    <n v="102"/>
    <n v="600"/>
    <n v="400"/>
    <n v="61200"/>
    <n v="20400"/>
  </r>
  <r>
    <s v="15-11-2020"/>
    <x v="7"/>
    <x v="2"/>
    <x v="1"/>
    <n v="69"/>
    <n v="4000"/>
    <n v="3000"/>
    <n v="276000"/>
    <n v="69000"/>
  </r>
  <r>
    <s v="18-04-2021"/>
    <x v="0"/>
    <x v="0"/>
    <x v="0"/>
    <n v="116"/>
    <n v="3500"/>
    <n v="2500"/>
    <n v="406000"/>
    <n v="116000"/>
  </r>
  <r>
    <s v="25-11-2021"/>
    <x v="4"/>
    <x v="2"/>
    <x v="6"/>
    <n v="51"/>
    <n v="10000"/>
    <n v="7000"/>
    <n v="510000"/>
    <n v="153000"/>
  </r>
  <r>
    <s v="11-03-2021"/>
    <x v="9"/>
    <x v="1"/>
    <x v="6"/>
    <n v="111"/>
    <n v="10000"/>
    <n v="7000"/>
    <n v="1110000"/>
    <n v="333000"/>
  </r>
  <r>
    <s v="01-01-2020"/>
    <x v="7"/>
    <x v="2"/>
    <x v="5"/>
    <n v="108"/>
    <n v="1000"/>
    <n v="700"/>
    <n v="108000"/>
    <n v="32400"/>
  </r>
  <r>
    <s v="20-12-2020"/>
    <x v="3"/>
    <x v="3"/>
    <x v="4"/>
    <n v="84"/>
    <n v="1200"/>
    <n v="800"/>
    <n v="100800"/>
    <n v="33600"/>
  </r>
  <r>
    <s v="08-03-2021"/>
    <x v="3"/>
    <x v="0"/>
    <x v="3"/>
    <n v="123"/>
    <n v="600"/>
    <n v="400"/>
    <n v="73800"/>
    <n v="24600"/>
  </r>
  <r>
    <s v="01-08-2021"/>
    <x v="0"/>
    <x v="3"/>
    <x v="6"/>
    <n v="114"/>
    <n v="10000"/>
    <n v="7000"/>
    <n v="1140000"/>
    <n v="342000"/>
  </r>
  <r>
    <s v="27-03-2021"/>
    <x v="4"/>
    <x v="3"/>
    <x v="5"/>
    <n v="55"/>
    <n v="1000"/>
    <n v="700"/>
    <n v="55000"/>
    <n v="16500"/>
  </r>
  <r>
    <s v="19-08-2021"/>
    <x v="3"/>
    <x v="0"/>
    <x v="2"/>
    <n v="76"/>
    <n v="6000"/>
    <n v="4000"/>
    <n v="456000"/>
    <n v="152000"/>
  </r>
  <r>
    <s v="07-12-2020"/>
    <x v="9"/>
    <x v="3"/>
    <x v="0"/>
    <n v="89"/>
    <n v="3500"/>
    <n v="2500"/>
    <n v="311500"/>
    <n v="89000"/>
  </r>
  <r>
    <s v="03-04-2021"/>
    <x v="0"/>
    <x v="1"/>
    <x v="1"/>
    <n v="112"/>
    <n v="4000"/>
    <n v="3000"/>
    <n v="448000"/>
    <n v="112000"/>
  </r>
  <r>
    <s v="26-04-2020"/>
    <x v="8"/>
    <x v="3"/>
    <x v="2"/>
    <n v="92"/>
    <n v="6000"/>
    <n v="4000"/>
    <n v="552000"/>
    <n v="184000"/>
  </r>
  <r>
    <s v="13-11-2020"/>
    <x v="8"/>
    <x v="1"/>
    <x v="0"/>
    <n v="55"/>
    <n v="3500"/>
    <n v="2500"/>
    <n v="192500"/>
    <n v="55000"/>
  </r>
  <r>
    <s v="30-08-2021"/>
    <x v="4"/>
    <x v="0"/>
    <x v="6"/>
    <n v="119"/>
    <n v="10000"/>
    <n v="7000"/>
    <n v="1190000"/>
    <n v="357000"/>
  </r>
  <r>
    <s v="16-04-2021"/>
    <x v="2"/>
    <x v="1"/>
    <x v="6"/>
    <n v="148"/>
    <n v="10000"/>
    <n v="7000"/>
    <n v="1480000"/>
    <n v="444000"/>
  </r>
  <r>
    <s v="08-01-2020"/>
    <x v="2"/>
    <x v="3"/>
    <x v="4"/>
    <n v="51"/>
    <n v="1200"/>
    <n v="800"/>
    <n v="61200"/>
    <n v="20400"/>
  </r>
  <r>
    <s v="12-10-2020"/>
    <x v="2"/>
    <x v="0"/>
    <x v="2"/>
    <n v="72"/>
    <n v="6000"/>
    <n v="4000"/>
    <n v="432000"/>
    <n v="144000"/>
  </r>
  <r>
    <s v="15-12-2020"/>
    <x v="3"/>
    <x v="3"/>
    <x v="6"/>
    <n v="145"/>
    <n v="10000"/>
    <n v="7000"/>
    <n v="1450000"/>
    <n v="435000"/>
  </r>
  <r>
    <s v="26-03-2021"/>
    <x v="1"/>
    <x v="3"/>
    <x v="2"/>
    <n v="129"/>
    <n v="6000"/>
    <n v="4000"/>
    <n v="774000"/>
    <n v="258000"/>
  </r>
  <r>
    <s v="13-01-2020"/>
    <x v="0"/>
    <x v="0"/>
    <x v="2"/>
    <n v="78"/>
    <n v="6000"/>
    <n v="4000"/>
    <n v="468000"/>
    <n v="156000"/>
  </r>
  <r>
    <s v="11-08-2021"/>
    <x v="2"/>
    <x v="3"/>
    <x v="2"/>
    <n v="57"/>
    <n v="6000"/>
    <n v="4000"/>
    <n v="342000"/>
    <n v="114000"/>
  </r>
  <r>
    <s v="02-05-2020"/>
    <x v="1"/>
    <x v="2"/>
    <x v="0"/>
    <n v="104"/>
    <n v="3500"/>
    <n v="2500"/>
    <n v="364000"/>
    <n v="104000"/>
  </r>
  <r>
    <s v="10-03-2021"/>
    <x v="0"/>
    <x v="1"/>
    <x v="3"/>
    <n v="107"/>
    <n v="600"/>
    <n v="400"/>
    <n v="64200"/>
    <n v="21400"/>
  </r>
  <r>
    <s v="10-05-2021"/>
    <x v="1"/>
    <x v="1"/>
    <x v="1"/>
    <n v="135"/>
    <n v="4000"/>
    <n v="3000"/>
    <n v="540000"/>
    <n v="135000"/>
  </r>
  <r>
    <s v="21-03-2021"/>
    <x v="7"/>
    <x v="1"/>
    <x v="4"/>
    <n v="86"/>
    <n v="1200"/>
    <n v="800"/>
    <n v="103200"/>
    <n v="34400"/>
  </r>
  <r>
    <s v="11-08-2020"/>
    <x v="5"/>
    <x v="1"/>
    <x v="6"/>
    <n v="138"/>
    <n v="10000"/>
    <n v="7000"/>
    <n v="1380000"/>
    <n v="414000"/>
  </r>
  <r>
    <s v="18-04-2020"/>
    <x v="1"/>
    <x v="3"/>
    <x v="2"/>
    <n v="149"/>
    <n v="6000"/>
    <n v="4000"/>
    <n v="894000"/>
    <n v="298000"/>
  </r>
  <r>
    <s v="06-08-2021"/>
    <x v="1"/>
    <x v="1"/>
    <x v="0"/>
    <n v="57"/>
    <n v="3500"/>
    <n v="2500"/>
    <n v="199500"/>
    <n v="57000"/>
  </r>
  <r>
    <s v="10-04-2021"/>
    <x v="5"/>
    <x v="2"/>
    <x v="2"/>
    <n v="105"/>
    <n v="6000"/>
    <n v="4000"/>
    <n v="630000"/>
    <n v="210000"/>
  </r>
  <r>
    <s v="23-04-2020"/>
    <x v="9"/>
    <x v="1"/>
    <x v="4"/>
    <n v="61"/>
    <n v="1200"/>
    <n v="800"/>
    <n v="73200"/>
    <n v="24400"/>
  </r>
  <r>
    <s v="06-11-2020"/>
    <x v="9"/>
    <x v="0"/>
    <x v="1"/>
    <n v="61"/>
    <n v="4000"/>
    <n v="3000"/>
    <n v="244000"/>
    <n v="61000"/>
  </r>
  <r>
    <s v="22-11-2020"/>
    <x v="2"/>
    <x v="3"/>
    <x v="0"/>
    <n v="69"/>
    <n v="3500"/>
    <n v="2500"/>
    <n v="241500"/>
    <n v="69000"/>
  </r>
  <r>
    <s v="02-07-2021"/>
    <x v="8"/>
    <x v="1"/>
    <x v="4"/>
    <n v="135"/>
    <n v="1200"/>
    <n v="800"/>
    <n v="162000"/>
    <n v="54000"/>
  </r>
  <r>
    <s v="08-12-2021"/>
    <x v="1"/>
    <x v="1"/>
    <x v="2"/>
    <n v="69"/>
    <n v="6000"/>
    <n v="4000"/>
    <n v="414000"/>
    <n v="138000"/>
  </r>
  <r>
    <s v="20-03-2020"/>
    <x v="9"/>
    <x v="1"/>
    <x v="3"/>
    <n v="104"/>
    <n v="600"/>
    <n v="400"/>
    <n v="62400"/>
    <n v="20800"/>
  </r>
  <r>
    <s v="29-09-2021"/>
    <x v="1"/>
    <x v="1"/>
    <x v="0"/>
    <n v="136"/>
    <n v="3500"/>
    <n v="2500"/>
    <n v="476000"/>
    <n v="136000"/>
  </r>
  <r>
    <s v="31-01-2021"/>
    <x v="1"/>
    <x v="2"/>
    <x v="1"/>
    <n v="68"/>
    <n v="4000"/>
    <n v="3000"/>
    <n v="272000"/>
    <n v="68000"/>
  </r>
  <r>
    <s v="24-02-2021"/>
    <x v="2"/>
    <x v="3"/>
    <x v="3"/>
    <n v="145"/>
    <n v="600"/>
    <n v="400"/>
    <n v="87000"/>
    <n v="29000"/>
  </r>
  <r>
    <s v="24-05-2021"/>
    <x v="1"/>
    <x v="3"/>
    <x v="0"/>
    <n v="124"/>
    <n v="3500"/>
    <n v="2500"/>
    <n v="434000"/>
    <n v="124000"/>
  </r>
  <r>
    <s v="16-08-2021"/>
    <x v="8"/>
    <x v="0"/>
    <x v="5"/>
    <n v="58"/>
    <n v="1000"/>
    <n v="700"/>
    <n v="58000"/>
    <n v="17400"/>
  </r>
  <r>
    <s v="23-04-2021"/>
    <x v="7"/>
    <x v="0"/>
    <x v="3"/>
    <n v="69"/>
    <n v="600"/>
    <n v="400"/>
    <n v="41400"/>
    <n v="13800"/>
  </r>
  <r>
    <s v="29-05-2021"/>
    <x v="3"/>
    <x v="1"/>
    <x v="4"/>
    <n v="102"/>
    <n v="1200"/>
    <n v="800"/>
    <n v="122400"/>
    <n v="40800"/>
  </r>
  <r>
    <s v="29-11-2021"/>
    <x v="1"/>
    <x v="1"/>
    <x v="5"/>
    <n v="148"/>
    <n v="1000"/>
    <n v="700"/>
    <n v="148000"/>
    <n v="44400"/>
  </r>
  <r>
    <s v="27-09-2021"/>
    <x v="2"/>
    <x v="2"/>
    <x v="4"/>
    <n v="94"/>
    <n v="1200"/>
    <n v="800"/>
    <n v="112800"/>
    <n v="37600"/>
  </r>
  <r>
    <s v="19-02-2021"/>
    <x v="5"/>
    <x v="2"/>
    <x v="6"/>
    <n v="73"/>
    <n v="10000"/>
    <n v="7000"/>
    <n v="730000"/>
    <n v="219000"/>
  </r>
  <r>
    <s v="08-09-2020"/>
    <x v="0"/>
    <x v="3"/>
    <x v="2"/>
    <n v="148"/>
    <n v="6000"/>
    <n v="4000"/>
    <n v="888000"/>
    <n v="296000"/>
  </r>
  <r>
    <s v="10-11-2021"/>
    <x v="3"/>
    <x v="2"/>
    <x v="5"/>
    <n v="112"/>
    <n v="1000"/>
    <n v="700"/>
    <n v="112000"/>
    <n v="33600"/>
  </r>
  <r>
    <s v="02-01-2021"/>
    <x v="1"/>
    <x v="3"/>
    <x v="4"/>
    <n v="124"/>
    <n v="1200"/>
    <n v="800"/>
    <n v="148800"/>
    <n v="49600"/>
  </r>
  <r>
    <s v="13-09-2020"/>
    <x v="2"/>
    <x v="2"/>
    <x v="3"/>
    <n v="130"/>
    <n v="600"/>
    <n v="400"/>
    <n v="78000"/>
    <n v="26000"/>
  </r>
  <r>
    <s v="30-10-2020"/>
    <x v="5"/>
    <x v="1"/>
    <x v="1"/>
    <n v="91"/>
    <n v="4000"/>
    <n v="3000"/>
    <n v="364000"/>
    <n v="91000"/>
  </r>
  <r>
    <s v="21-12-2020"/>
    <x v="2"/>
    <x v="1"/>
    <x v="2"/>
    <n v="85"/>
    <n v="6000"/>
    <n v="4000"/>
    <n v="510000"/>
    <n v="170000"/>
  </r>
  <r>
    <s v="14-06-2021"/>
    <x v="4"/>
    <x v="2"/>
    <x v="6"/>
    <n v="107"/>
    <n v="10000"/>
    <n v="7000"/>
    <n v="1070000"/>
    <n v="321000"/>
  </r>
  <r>
    <s v="17-02-2021"/>
    <x v="4"/>
    <x v="1"/>
    <x v="5"/>
    <n v="71"/>
    <n v="1000"/>
    <n v="700"/>
    <n v="71000"/>
    <n v="21300"/>
  </r>
  <r>
    <s v="08-08-2020"/>
    <x v="1"/>
    <x v="2"/>
    <x v="6"/>
    <n v="135"/>
    <n v="10000"/>
    <n v="7000"/>
    <n v="1350000"/>
    <n v="405000"/>
  </r>
  <r>
    <s v="22-12-2020"/>
    <x v="6"/>
    <x v="1"/>
    <x v="0"/>
    <n v="130"/>
    <n v="3500"/>
    <n v="2500"/>
    <n v="455000"/>
    <n v="130000"/>
  </r>
  <r>
    <s v="05-08-2020"/>
    <x v="5"/>
    <x v="2"/>
    <x v="3"/>
    <n v="147"/>
    <n v="600"/>
    <n v="400"/>
    <n v="88200"/>
    <n v="29400"/>
  </r>
  <r>
    <s v="01-07-2020"/>
    <x v="1"/>
    <x v="2"/>
    <x v="4"/>
    <n v="133"/>
    <n v="1200"/>
    <n v="800"/>
    <n v="159600"/>
    <n v="53200"/>
  </r>
  <r>
    <s v="31-01-2020"/>
    <x v="7"/>
    <x v="3"/>
    <x v="2"/>
    <n v="136"/>
    <n v="6000"/>
    <n v="4000"/>
    <n v="816000"/>
    <n v="272000"/>
  </r>
  <r>
    <s v="19-11-2020"/>
    <x v="7"/>
    <x v="0"/>
    <x v="2"/>
    <n v="66"/>
    <n v="6000"/>
    <n v="4000"/>
    <n v="396000"/>
    <n v="132000"/>
  </r>
  <r>
    <s v="07-04-2020"/>
    <x v="5"/>
    <x v="2"/>
    <x v="0"/>
    <n v="66"/>
    <n v="3500"/>
    <n v="2500"/>
    <n v="231000"/>
    <n v="66000"/>
  </r>
  <r>
    <s v="17-04-2021"/>
    <x v="4"/>
    <x v="1"/>
    <x v="6"/>
    <n v="108"/>
    <n v="10000"/>
    <n v="7000"/>
    <n v="1080000"/>
    <n v="324000"/>
  </r>
  <r>
    <s v="20-07-2020"/>
    <x v="6"/>
    <x v="2"/>
    <x v="5"/>
    <n v="126"/>
    <n v="1000"/>
    <n v="700"/>
    <n v="126000"/>
    <n v="37800"/>
  </r>
  <r>
    <s v="19-02-2020"/>
    <x v="6"/>
    <x v="0"/>
    <x v="2"/>
    <n v="100"/>
    <n v="6000"/>
    <n v="4000"/>
    <n v="600000"/>
    <n v="200000"/>
  </r>
  <r>
    <s v="20-05-2020"/>
    <x v="3"/>
    <x v="3"/>
    <x v="4"/>
    <n v="91"/>
    <n v="1200"/>
    <n v="800"/>
    <n v="109200"/>
    <n v="36400"/>
  </r>
  <r>
    <s v="12-02-2020"/>
    <x v="3"/>
    <x v="2"/>
    <x v="4"/>
    <n v="80"/>
    <n v="1200"/>
    <n v="800"/>
    <n v="96000"/>
    <n v="32000"/>
  </r>
  <r>
    <s v="27-11-2021"/>
    <x v="3"/>
    <x v="2"/>
    <x v="5"/>
    <n v="148"/>
    <n v="1000"/>
    <n v="700"/>
    <n v="148000"/>
    <n v="44400"/>
  </r>
  <r>
    <s v="09-02-2021"/>
    <x v="3"/>
    <x v="1"/>
    <x v="0"/>
    <n v="57"/>
    <n v="3500"/>
    <n v="2500"/>
    <n v="199500"/>
    <n v="57000"/>
  </r>
  <r>
    <s v="04-11-2021"/>
    <x v="9"/>
    <x v="1"/>
    <x v="6"/>
    <n v="90"/>
    <n v="10000"/>
    <n v="7000"/>
    <n v="900000"/>
    <n v="270000"/>
  </r>
  <r>
    <s v="15-11-2021"/>
    <x v="5"/>
    <x v="1"/>
    <x v="6"/>
    <n v="80"/>
    <n v="10000"/>
    <n v="7000"/>
    <n v="800000"/>
    <n v="240000"/>
  </r>
  <r>
    <s v="22-07-2021"/>
    <x v="4"/>
    <x v="2"/>
    <x v="6"/>
    <n v="122"/>
    <n v="10000"/>
    <n v="7000"/>
    <n v="1220000"/>
    <n v="366000"/>
  </r>
  <r>
    <s v="22-09-2021"/>
    <x v="4"/>
    <x v="1"/>
    <x v="5"/>
    <n v="106"/>
    <n v="1000"/>
    <n v="700"/>
    <n v="106000"/>
    <n v="31800"/>
  </r>
  <r>
    <s v="08-08-2020"/>
    <x v="4"/>
    <x v="0"/>
    <x v="0"/>
    <n v="63"/>
    <n v="3500"/>
    <n v="2500"/>
    <n v="220500"/>
    <n v="63000"/>
  </r>
  <r>
    <s v="06-05-2021"/>
    <x v="3"/>
    <x v="1"/>
    <x v="5"/>
    <n v="73"/>
    <n v="1000"/>
    <n v="700"/>
    <n v="73000"/>
    <n v="21900"/>
  </r>
  <r>
    <s v="08-09-2020"/>
    <x v="3"/>
    <x v="0"/>
    <x v="2"/>
    <n v="105"/>
    <n v="6000"/>
    <n v="4000"/>
    <n v="630000"/>
    <n v="210000"/>
  </r>
  <r>
    <s v="23-07-2021"/>
    <x v="0"/>
    <x v="0"/>
    <x v="3"/>
    <n v="89"/>
    <n v="600"/>
    <n v="400"/>
    <n v="53400"/>
    <n v="17800"/>
  </r>
  <r>
    <s v="30-03-2020"/>
    <x v="6"/>
    <x v="1"/>
    <x v="0"/>
    <n v="60"/>
    <n v="3500"/>
    <n v="2500"/>
    <n v="210000"/>
    <n v="60000"/>
  </r>
  <r>
    <s v="28-01-2021"/>
    <x v="1"/>
    <x v="2"/>
    <x v="0"/>
    <n v="140"/>
    <n v="3500"/>
    <n v="2500"/>
    <n v="490000"/>
    <n v="140000"/>
  </r>
  <r>
    <s v="01-04-2020"/>
    <x v="3"/>
    <x v="0"/>
    <x v="3"/>
    <n v="120"/>
    <n v="600"/>
    <n v="400"/>
    <n v="72000"/>
    <n v="24000"/>
  </r>
  <r>
    <s v="12-07-2020"/>
    <x v="4"/>
    <x v="1"/>
    <x v="2"/>
    <n v="117"/>
    <n v="6000"/>
    <n v="4000"/>
    <n v="702000"/>
    <n v="234000"/>
  </r>
  <r>
    <s v="27-07-2021"/>
    <x v="3"/>
    <x v="3"/>
    <x v="2"/>
    <n v="96"/>
    <n v="6000"/>
    <n v="4000"/>
    <n v="576000"/>
    <n v="192000"/>
  </r>
  <r>
    <s v="07-02-2020"/>
    <x v="9"/>
    <x v="3"/>
    <x v="5"/>
    <n v="75"/>
    <n v="1000"/>
    <n v="700"/>
    <n v="75000"/>
    <n v="22500"/>
  </r>
  <r>
    <s v="27-06-2020"/>
    <x v="3"/>
    <x v="3"/>
    <x v="0"/>
    <n v="120"/>
    <n v="3500"/>
    <n v="2500"/>
    <n v="420000"/>
    <n v="120000"/>
  </r>
  <r>
    <s v="27-03-2020"/>
    <x v="6"/>
    <x v="3"/>
    <x v="2"/>
    <n v="84"/>
    <n v="6000"/>
    <n v="4000"/>
    <n v="504000"/>
    <n v="168000"/>
  </r>
  <r>
    <s v="14-05-2020"/>
    <x v="8"/>
    <x v="3"/>
    <x v="4"/>
    <n v="115"/>
    <n v="1200"/>
    <n v="800"/>
    <n v="138000"/>
    <n v="46000"/>
  </r>
  <r>
    <s v="27-10-2020"/>
    <x v="8"/>
    <x v="3"/>
    <x v="3"/>
    <n v="113"/>
    <n v="600"/>
    <n v="400"/>
    <n v="67800"/>
    <n v="22600"/>
  </r>
  <r>
    <s v="08-01-2021"/>
    <x v="7"/>
    <x v="3"/>
    <x v="0"/>
    <n v="50"/>
    <n v="3500"/>
    <n v="2500"/>
    <n v="175000"/>
    <n v="50000"/>
  </r>
  <r>
    <s v="11-10-2020"/>
    <x v="0"/>
    <x v="1"/>
    <x v="1"/>
    <n v="73"/>
    <n v="4000"/>
    <n v="3000"/>
    <n v="292000"/>
    <n v="73000"/>
  </r>
  <r>
    <s v="08-10-2020"/>
    <x v="1"/>
    <x v="1"/>
    <x v="2"/>
    <n v="99"/>
    <n v="6000"/>
    <n v="4000"/>
    <n v="594000"/>
    <n v="198000"/>
  </r>
  <r>
    <s v="29-09-2020"/>
    <x v="3"/>
    <x v="3"/>
    <x v="3"/>
    <n v="82"/>
    <n v="600"/>
    <n v="400"/>
    <n v="49200"/>
    <n v="16400"/>
  </r>
  <r>
    <s v="03-09-2020"/>
    <x v="7"/>
    <x v="3"/>
    <x v="5"/>
    <n v="147"/>
    <n v="1000"/>
    <n v="700"/>
    <n v="147000"/>
    <n v="44100"/>
  </r>
  <r>
    <s v="01-11-2021"/>
    <x v="0"/>
    <x v="1"/>
    <x v="6"/>
    <n v="57"/>
    <n v="10000"/>
    <n v="7000"/>
    <n v="570000"/>
    <n v="171000"/>
  </r>
  <r>
    <s v="16-03-2020"/>
    <x v="2"/>
    <x v="1"/>
    <x v="1"/>
    <n v="86"/>
    <n v="4000"/>
    <n v="3000"/>
    <n v="344000"/>
    <n v="86000"/>
  </r>
  <r>
    <s v="12-02-2021"/>
    <x v="0"/>
    <x v="1"/>
    <x v="5"/>
    <n v="144"/>
    <n v="1000"/>
    <n v="700"/>
    <n v="144000"/>
    <n v="43200"/>
  </r>
  <r>
    <s v="20-06-2020"/>
    <x v="2"/>
    <x v="2"/>
    <x v="4"/>
    <n v="144"/>
    <n v="1200"/>
    <n v="800"/>
    <n v="172800"/>
    <n v="57600"/>
  </r>
  <r>
    <s v="22-09-2021"/>
    <x v="8"/>
    <x v="2"/>
    <x v="4"/>
    <n v="51"/>
    <n v="1200"/>
    <n v="800"/>
    <n v="61200"/>
    <n v="20400"/>
  </r>
  <r>
    <s v="05-04-2020"/>
    <x v="0"/>
    <x v="1"/>
    <x v="5"/>
    <n v="150"/>
    <n v="1000"/>
    <n v="700"/>
    <n v="150000"/>
    <n v="45000"/>
  </r>
  <r>
    <s v="13-01-2020"/>
    <x v="1"/>
    <x v="2"/>
    <x v="2"/>
    <n v="67"/>
    <n v="6000"/>
    <n v="4000"/>
    <n v="402000"/>
    <n v="134000"/>
  </r>
  <r>
    <s v="24-08-2021"/>
    <x v="7"/>
    <x v="0"/>
    <x v="6"/>
    <n v="143"/>
    <n v="10000"/>
    <n v="7000"/>
    <n v="1430000"/>
    <n v="429000"/>
  </r>
  <r>
    <s v="15-08-2021"/>
    <x v="2"/>
    <x v="3"/>
    <x v="6"/>
    <n v="53"/>
    <n v="10000"/>
    <n v="7000"/>
    <n v="530000"/>
    <n v="159000"/>
  </r>
  <r>
    <s v="25-10-2021"/>
    <x v="4"/>
    <x v="2"/>
    <x v="3"/>
    <n v="75"/>
    <n v="600"/>
    <n v="400"/>
    <n v="45000"/>
    <n v="15000"/>
  </r>
  <r>
    <s v="29-02-2020"/>
    <x v="3"/>
    <x v="1"/>
    <x v="2"/>
    <n v="77"/>
    <n v="6000"/>
    <n v="4000"/>
    <n v="462000"/>
    <n v="154000"/>
  </r>
  <r>
    <s v="26-04-2020"/>
    <x v="7"/>
    <x v="2"/>
    <x v="5"/>
    <n v="81"/>
    <n v="1000"/>
    <n v="700"/>
    <n v="81000"/>
    <n v="24300"/>
  </r>
  <r>
    <s v="18-10-2020"/>
    <x v="3"/>
    <x v="3"/>
    <x v="2"/>
    <n v="92"/>
    <n v="6000"/>
    <n v="4000"/>
    <n v="552000"/>
    <n v="184000"/>
  </r>
  <r>
    <s v="19-08-2020"/>
    <x v="7"/>
    <x v="3"/>
    <x v="6"/>
    <n v="73"/>
    <n v="10000"/>
    <n v="7000"/>
    <n v="730000"/>
    <n v="219000"/>
  </r>
  <r>
    <s v="27-10-2020"/>
    <x v="1"/>
    <x v="3"/>
    <x v="2"/>
    <n v="84"/>
    <n v="6000"/>
    <n v="4000"/>
    <n v="504000"/>
    <n v="168000"/>
  </r>
  <r>
    <s v="09-02-2021"/>
    <x v="6"/>
    <x v="1"/>
    <x v="0"/>
    <n v="121"/>
    <n v="3500"/>
    <n v="2500"/>
    <n v="423500"/>
    <n v="121000"/>
  </r>
  <r>
    <s v="31-12-2021"/>
    <x v="1"/>
    <x v="1"/>
    <x v="6"/>
    <n v="65"/>
    <n v="10000"/>
    <n v="7000"/>
    <n v="650000"/>
    <n v="195000"/>
  </r>
  <r>
    <s v="31-10-2021"/>
    <x v="1"/>
    <x v="1"/>
    <x v="3"/>
    <n v="95"/>
    <n v="600"/>
    <n v="400"/>
    <n v="57000"/>
    <n v="19000"/>
  </r>
  <r>
    <s v="15-06-2020"/>
    <x v="7"/>
    <x v="2"/>
    <x v="2"/>
    <n v="145"/>
    <n v="6000"/>
    <n v="4000"/>
    <n v="870000"/>
    <n v="290000"/>
  </r>
  <r>
    <s v="26-01-2021"/>
    <x v="7"/>
    <x v="3"/>
    <x v="1"/>
    <n v="110"/>
    <n v="4000"/>
    <n v="3000"/>
    <n v="440000"/>
    <n v="110000"/>
  </r>
  <r>
    <s v="27-05-2021"/>
    <x v="2"/>
    <x v="1"/>
    <x v="4"/>
    <n v="150"/>
    <n v="1200"/>
    <n v="800"/>
    <n v="180000"/>
    <n v="60000"/>
  </r>
  <r>
    <s v="27-10-2020"/>
    <x v="7"/>
    <x v="3"/>
    <x v="4"/>
    <n v="150"/>
    <n v="1200"/>
    <n v="800"/>
    <n v="180000"/>
    <n v="60000"/>
  </r>
  <r>
    <s v="09-04-2021"/>
    <x v="1"/>
    <x v="0"/>
    <x v="1"/>
    <n v="111"/>
    <n v="4000"/>
    <n v="3000"/>
    <n v="444000"/>
    <n v="111000"/>
  </r>
  <r>
    <s v="16-10-2021"/>
    <x v="2"/>
    <x v="3"/>
    <x v="6"/>
    <n v="144"/>
    <n v="10000"/>
    <n v="7000"/>
    <n v="1440000"/>
    <n v="432000"/>
  </r>
  <r>
    <s v="15-02-2021"/>
    <x v="8"/>
    <x v="3"/>
    <x v="3"/>
    <n v="105"/>
    <n v="600"/>
    <n v="400"/>
    <n v="63000"/>
    <n v="21000"/>
  </r>
  <r>
    <s v="23-06-2021"/>
    <x v="3"/>
    <x v="3"/>
    <x v="2"/>
    <n v="55"/>
    <n v="6000"/>
    <n v="4000"/>
    <n v="330000"/>
    <n v="110000"/>
  </r>
  <r>
    <s v="15-05-2021"/>
    <x v="2"/>
    <x v="0"/>
    <x v="1"/>
    <n v="100"/>
    <n v="4000"/>
    <n v="3000"/>
    <n v="400000"/>
    <n v="100000"/>
  </r>
  <r>
    <s v="23-03-2021"/>
    <x v="1"/>
    <x v="1"/>
    <x v="0"/>
    <n v="80"/>
    <n v="3500"/>
    <n v="2500"/>
    <n v="280000"/>
    <n v="80000"/>
  </r>
  <r>
    <s v="27-08-2021"/>
    <x v="1"/>
    <x v="0"/>
    <x v="4"/>
    <n v="75"/>
    <n v="1200"/>
    <n v="800"/>
    <n v="90000"/>
    <n v="30000"/>
  </r>
  <r>
    <s v="21-03-2020"/>
    <x v="3"/>
    <x v="2"/>
    <x v="1"/>
    <n v="78"/>
    <n v="4000"/>
    <n v="3000"/>
    <n v="312000"/>
    <n v="78000"/>
  </r>
  <r>
    <s v="23-08-2020"/>
    <x v="5"/>
    <x v="3"/>
    <x v="6"/>
    <n v="64"/>
    <n v="10000"/>
    <n v="7000"/>
    <n v="640000"/>
    <n v="192000"/>
  </r>
  <r>
    <s v="14-01-2020"/>
    <x v="8"/>
    <x v="0"/>
    <x v="2"/>
    <n v="124"/>
    <n v="6000"/>
    <n v="4000"/>
    <n v="744000"/>
    <n v="248000"/>
  </r>
  <r>
    <s v="08-05-2020"/>
    <x v="3"/>
    <x v="2"/>
    <x v="4"/>
    <n v="67"/>
    <n v="1200"/>
    <n v="800"/>
    <n v="80400"/>
    <n v="26800"/>
  </r>
  <r>
    <s v="20-05-2021"/>
    <x v="8"/>
    <x v="2"/>
    <x v="2"/>
    <n v="139"/>
    <n v="6000"/>
    <n v="4000"/>
    <n v="834000"/>
    <n v="278000"/>
  </r>
  <r>
    <s v="07-02-2020"/>
    <x v="0"/>
    <x v="3"/>
    <x v="5"/>
    <n v="64"/>
    <n v="1000"/>
    <n v="700"/>
    <n v="64000"/>
    <n v="19200"/>
  </r>
  <r>
    <s v="07-09-2021"/>
    <x v="2"/>
    <x v="0"/>
    <x v="4"/>
    <n v="74"/>
    <n v="1200"/>
    <n v="800"/>
    <n v="88800"/>
    <n v="29600"/>
  </r>
  <r>
    <s v="08-07-2020"/>
    <x v="3"/>
    <x v="2"/>
    <x v="4"/>
    <n v="133"/>
    <n v="1200"/>
    <n v="800"/>
    <n v="159600"/>
    <n v="53200"/>
  </r>
  <r>
    <s v="23-11-2020"/>
    <x v="8"/>
    <x v="0"/>
    <x v="2"/>
    <n v="55"/>
    <n v="6000"/>
    <n v="4000"/>
    <n v="330000"/>
    <n v="110000"/>
  </r>
  <r>
    <s v="17-02-2021"/>
    <x v="1"/>
    <x v="3"/>
    <x v="0"/>
    <n v="78"/>
    <n v="3500"/>
    <n v="2500"/>
    <n v="273000"/>
    <n v="78000"/>
  </r>
  <r>
    <s v="23-04-2021"/>
    <x v="7"/>
    <x v="0"/>
    <x v="5"/>
    <n v="92"/>
    <n v="1000"/>
    <n v="700"/>
    <n v="92000"/>
    <n v="27600"/>
  </r>
  <r>
    <s v="24-12-2021"/>
    <x v="0"/>
    <x v="2"/>
    <x v="1"/>
    <n v="92"/>
    <n v="4000"/>
    <n v="3000"/>
    <n v="368000"/>
    <n v="92000"/>
  </r>
  <r>
    <s v="17-03-2020"/>
    <x v="5"/>
    <x v="1"/>
    <x v="3"/>
    <n v="96"/>
    <n v="600"/>
    <n v="400"/>
    <n v="57600"/>
    <n v="19200"/>
  </r>
  <r>
    <s v="03-03-2020"/>
    <x v="6"/>
    <x v="0"/>
    <x v="6"/>
    <n v="127"/>
    <n v="10000"/>
    <n v="7000"/>
    <n v="1270000"/>
    <n v="381000"/>
  </r>
  <r>
    <s v="10-02-2021"/>
    <x v="7"/>
    <x v="3"/>
    <x v="4"/>
    <n v="131"/>
    <n v="1200"/>
    <n v="800"/>
    <n v="157200"/>
    <n v="52400"/>
  </r>
  <r>
    <s v="29-09-2020"/>
    <x v="9"/>
    <x v="0"/>
    <x v="4"/>
    <n v="111"/>
    <n v="1200"/>
    <n v="800"/>
    <n v="133200"/>
    <n v="44400"/>
  </r>
  <r>
    <s v="09-06-2021"/>
    <x v="6"/>
    <x v="3"/>
    <x v="6"/>
    <n v="149"/>
    <n v="10000"/>
    <n v="7000"/>
    <n v="1490000"/>
    <n v="447000"/>
  </r>
  <r>
    <s v="23-12-2020"/>
    <x v="0"/>
    <x v="0"/>
    <x v="2"/>
    <n v="129"/>
    <n v="6000"/>
    <n v="4000"/>
    <n v="774000"/>
    <n v="258000"/>
  </r>
  <r>
    <s v="19-05-2021"/>
    <x v="9"/>
    <x v="3"/>
    <x v="0"/>
    <n v="96"/>
    <n v="3500"/>
    <n v="2500"/>
    <n v="336000"/>
    <n v="96000"/>
  </r>
  <r>
    <s v="13-01-2021"/>
    <x v="7"/>
    <x v="0"/>
    <x v="2"/>
    <n v="139"/>
    <n v="6000"/>
    <n v="4000"/>
    <n v="834000"/>
    <n v="278000"/>
  </r>
  <r>
    <s v="19-11-2021"/>
    <x v="9"/>
    <x v="0"/>
    <x v="3"/>
    <n v="80"/>
    <n v="600"/>
    <n v="400"/>
    <n v="48000"/>
    <n v="16000"/>
  </r>
  <r>
    <s v="05-12-2020"/>
    <x v="3"/>
    <x v="2"/>
    <x v="0"/>
    <n v="136"/>
    <n v="3500"/>
    <n v="2500"/>
    <n v="476000"/>
    <n v="136000"/>
  </r>
  <r>
    <s v="05-11-2021"/>
    <x v="7"/>
    <x v="0"/>
    <x v="3"/>
    <n v="80"/>
    <n v="600"/>
    <n v="400"/>
    <n v="48000"/>
    <n v="16000"/>
  </r>
  <r>
    <s v="26-12-2021"/>
    <x v="2"/>
    <x v="3"/>
    <x v="2"/>
    <n v="54"/>
    <n v="6000"/>
    <n v="4000"/>
    <n v="324000"/>
    <n v="108000"/>
  </r>
  <r>
    <s v="17-12-2021"/>
    <x v="4"/>
    <x v="2"/>
    <x v="0"/>
    <n v="67"/>
    <n v="3500"/>
    <n v="2500"/>
    <n v="234500"/>
    <n v="67000"/>
  </r>
  <r>
    <s v="05-07-2021"/>
    <x v="2"/>
    <x v="0"/>
    <x v="5"/>
    <n v="80"/>
    <n v="1000"/>
    <n v="700"/>
    <n v="80000"/>
    <n v="24000"/>
  </r>
  <r>
    <s v="09-09-2020"/>
    <x v="6"/>
    <x v="0"/>
    <x v="2"/>
    <n v="140"/>
    <n v="6000"/>
    <n v="4000"/>
    <n v="840000"/>
    <n v="280000"/>
  </r>
  <r>
    <s v="25-04-2020"/>
    <x v="3"/>
    <x v="1"/>
    <x v="4"/>
    <n v="78"/>
    <n v="1200"/>
    <n v="800"/>
    <n v="93600"/>
    <n v="31200"/>
  </r>
  <r>
    <s v="04-03-2021"/>
    <x v="9"/>
    <x v="2"/>
    <x v="1"/>
    <n v="54"/>
    <n v="4000"/>
    <n v="3000"/>
    <n v="216000"/>
    <n v="54000"/>
  </r>
  <r>
    <s v="05-08-2020"/>
    <x v="2"/>
    <x v="1"/>
    <x v="2"/>
    <n v="119"/>
    <n v="6000"/>
    <n v="4000"/>
    <n v="714000"/>
    <n v="238000"/>
  </r>
  <r>
    <s v="22-05-2020"/>
    <x v="2"/>
    <x v="1"/>
    <x v="0"/>
    <n v="126"/>
    <n v="3500"/>
    <n v="2500"/>
    <n v="441000"/>
    <n v="126000"/>
  </r>
  <r>
    <s v="22-01-2020"/>
    <x v="9"/>
    <x v="2"/>
    <x v="3"/>
    <n v="109"/>
    <n v="600"/>
    <n v="400"/>
    <n v="65400"/>
    <n v="21800"/>
  </r>
  <r>
    <s v="26-04-2021"/>
    <x v="9"/>
    <x v="2"/>
    <x v="2"/>
    <n v="117"/>
    <n v="6000"/>
    <n v="4000"/>
    <n v="702000"/>
    <n v="234000"/>
  </r>
  <r>
    <s v="30-04-2021"/>
    <x v="3"/>
    <x v="3"/>
    <x v="5"/>
    <n v="126"/>
    <n v="1000"/>
    <n v="700"/>
    <n v="126000"/>
    <n v="37800"/>
  </r>
  <r>
    <s v="31-03-2020"/>
    <x v="3"/>
    <x v="2"/>
    <x v="4"/>
    <n v="86"/>
    <n v="1200"/>
    <n v="800"/>
    <n v="103200"/>
    <n v="34400"/>
  </r>
  <r>
    <s v="11-01-2021"/>
    <x v="4"/>
    <x v="2"/>
    <x v="1"/>
    <n v="112"/>
    <n v="4000"/>
    <n v="3000"/>
    <n v="448000"/>
    <n v="112000"/>
  </r>
  <r>
    <s v="11-12-2020"/>
    <x v="3"/>
    <x v="2"/>
    <x v="3"/>
    <n v="83"/>
    <n v="600"/>
    <n v="400"/>
    <n v="49800"/>
    <n v="16600"/>
  </r>
  <r>
    <s v="02-02-2020"/>
    <x v="5"/>
    <x v="3"/>
    <x v="5"/>
    <n v="106"/>
    <n v="1000"/>
    <n v="700"/>
    <n v="106000"/>
    <n v="31800"/>
  </r>
  <r>
    <s v="01-06-2020"/>
    <x v="4"/>
    <x v="1"/>
    <x v="0"/>
    <n v="51"/>
    <n v="3500"/>
    <n v="2500"/>
    <n v="178500"/>
    <n v="51000"/>
  </r>
  <r>
    <s v="12-05-2020"/>
    <x v="8"/>
    <x v="1"/>
    <x v="2"/>
    <n v="50"/>
    <n v="6000"/>
    <n v="4000"/>
    <n v="300000"/>
    <n v="100000"/>
  </r>
  <r>
    <s v="03-03-2021"/>
    <x v="6"/>
    <x v="1"/>
    <x v="3"/>
    <n v="90"/>
    <n v="600"/>
    <n v="400"/>
    <n v="54000"/>
    <n v="18000"/>
  </r>
  <r>
    <s v="30-10-2021"/>
    <x v="6"/>
    <x v="2"/>
    <x v="3"/>
    <n v="121"/>
    <n v="600"/>
    <n v="400"/>
    <n v="72600"/>
    <n v="24200"/>
  </r>
  <r>
    <s v="19-10-2021"/>
    <x v="8"/>
    <x v="1"/>
    <x v="2"/>
    <n v="136"/>
    <n v="6000"/>
    <n v="4000"/>
    <n v="816000"/>
    <n v="272000"/>
  </r>
  <r>
    <s v="15-02-2021"/>
    <x v="5"/>
    <x v="0"/>
    <x v="0"/>
    <n v="89"/>
    <n v="3500"/>
    <n v="2500"/>
    <n v="311500"/>
    <n v="89000"/>
  </r>
  <r>
    <s v="14-08-2021"/>
    <x v="3"/>
    <x v="3"/>
    <x v="6"/>
    <n v="56"/>
    <n v="10000"/>
    <n v="7000"/>
    <n v="560000"/>
    <n v="168000"/>
  </r>
  <r>
    <s v="31-12-2020"/>
    <x v="1"/>
    <x v="3"/>
    <x v="6"/>
    <n v="54"/>
    <n v="10000"/>
    <n v="7000"/>
    <n v="540000"/>
    <n v="162000"/>
  </r>
  <r>
    <s v="22-02-2021"/>
    <x v="4"/>
    <x v="1"/>
    <x v="2"/>
    <n v="99"/>
    <n v="6000"/>
    <n v="4000"/>
    <n v="594000"/>
    <n v="198000"/>
  </r>
  <r>
    <s v="11-12-2020"/>
    <x v="8"/>
    <x v="0"/>
    <x v="0"/>
    <n v="53"/>
    <n v="3500"/>
    <n v="2500"/>
    <n v="185500"/>
    <n v="53000"/>
  </r>
  <r>
    <s v="29-07-2021"/>
    <x v="7"/>
    <x v="2"/>
    <x v="1"/>
    <n v="140"/>
    <n v="4000"/>
    <n v="3000"/>
    <n v="560000"/>
    <n v="140000"/>
  </r>
  <r>
    <s v="26-09-2020"/>
    <x v="4"/>
    <x v="2"/>
    <x v="4"/>
    <n v="108"/>
    <n v="1200"/>
    <n v="800"/>
    <n v="129600"/>
    <n v="43200"/>
  </r>
  <r>
    <s v="24-01-2020"/>
    <x v="9"/>
    <x v="0"/>
    <x v="3"/>
    <n v="65"/>
    <n v="600"/>
    <n v="400"/>
    <n v="39000"/>
    <n v="13000"/>
  </r>
  <r>
    <s v="29-10-2020"/>
    <x v="8"/>
    <x v="1"/>
    <x v="3"/>
    <n v="146"/>
    <n v="600"/>
    <n v="400"/>
    <n v="87600"/>
    <n v="29200"/>
  </r>
  <r>
    <s v="18-02-2020"/>
    <x v="4"/>
    <x v="1"/>
    <x v="5"/>
    <n v="53"/>
    <n v="1000"/>
    <n v="700"/>
    <n v="53000"/>
    <n v="15900"/>
  </r>
  <r>
    <s v="18-07-2021"/>
    <x v="0"/>
    <x v="1"/>
    <x v="3"/>
    <n v="99"/>
    <n v="600"/>
    <n v="400"/>
    <n v="59400"/>
    <n v="19800"/>
  </r>
  <r>
    <s v="03-07-2021"/>
    <x v="2"/>
    <x v="3"/>
    <x v="6"/>
    <n v="86"/>
    <n v="10000"/>
    <n v="7000"/>
    <n v="860000"/>
    <n v="258000"/>
  </r>
  <r>
    <s v="17-08-2020"/>
    <x v="2"/>
    <x v="3"/>
    <x v="0"/>
    <n v="79"/>
    <n v="3500"/>
    <n v="2500"/>
    <n v="276500"/>
    <n v="79000"/>
  </r>
  <r>
    <s v="30-04-2021"/>
    <x v="1"/>
    <x v="0"/>
    <x v="5"/>
    <n v="104"/>
    <n v="1000"/>
    <n v="700"/>
    <n v="104000"/>
    <n v="31200"/>
  </r>
  <r>
    <s v="13-02-2021"/>
    <x v="1"/>
    <x v="0"/>
    <x v="5"/>
    <n v="108"/>
    <n v="1000"/>
    <n v="700"/>
    <n v="108000"/>
    <n v="32400"/>
  </r>
  <r>
    <s v="28-04-2020"/>
    <x v="9"/>
    <x v="3"/>
    <x v="0"/>
    <n v="60"/>
    <n v="3500"/>
    <n v="2500"/>
    <n v="210000"/>
    <n v="60000"/>
  </r>
  <r>
    <s v="07-09-2021"/>
    <x v="7"/>
    <x v="1"/>
    <x v="3"/>
    <n v="90"/>
    <n v="600"/>
    <n v="400"/>
    <n v="54000"/>
    <n v="18000"/>
  </r>
  <r>
    <s v="01-05-2020"/>
    <x v="6"/>
    <x v="1"/>
    <x v="0"/>
    <n v="121"/>
    <n v="3500"/>
    <n v="2500"/>
    <n v="423500"/>
    <n v="121000"/>
  </r>
  <r>
    <s v="25-08-2020"/>
    <x v="7"/>
    <x v="3"/>
    <x v="3"/>
    <n v="119"/>
    <n v="600"/>
    <n v="400"/>
    <n v="71400"/>
    <n v="23800"/>
  </r>
  <r>
    <s v="31-08-2021"/>
    <x v="2"/>
    <x v="3"/>
    <x v="4"/>
    <n v="124"/>
    <n v="1200"/>
    <n v="800"/>
    <n v="148800"/>
    <n v="49600"/>
  </r>
  <r>
    <s v="30-09-2021"/>
    <x v="4"/>
    <x v="3"/>
    <x v="6"/>
    <n v="133"/>
    <n v="10000"/>
    <n v="7000"/>
    <n v="1330000"/>
    <n v="399000"/>
  </r>
  <r>
    <s v="26-04-2020"/>
    <x v="3"/>
    <x v="2"/>
    <x v="0"/>
    <n v="50"/>
    <n v="3500"/>
    <n v="2500"/>
    <n v="175000"/>
    <n v="50000"/>
  </r>
  <r>
    <s v="22-07-2020"/>
    <x v="6"/>
    <x v="1"/>
    <x v="0"/>
    <n v="132"/>
    <n v="3500"/>
    <n v="2500"/>
    <n v="462000"/>
    <n v="132000"/>
  </r>
  <r>
    <s v="13-10-2021"/>
    <x v="6"/>
    <x v="3"/>
    <x v="4"/>
    <n v="64"/>
    <n v="1200"/>
    <n v="800"/>
    <n v="76800"/>
    <n v="25600"/>
  </r>
  <r>
    <s v="12-06-2021"/>
    <x v="3"/>
    <x v="3"/>
    <x v="0"/>
    <n v="67"/>
    <n v="3500"/>
    <n v="2500"/>
    <n v="234500"/>
    <n v="67000"/>
  </r>
  <r>
    <s v="13-02-2021"/>
    <x v="2"/>
    <x v="2"/>
    <x v="5"/>
    <n v="140"/>
    <n v="1000"/>
    <n v="700"/>
    <n v="140000"/>
    <n v="42000"/>
  </r>
  <r>
    <s v="27-03-2020"/>
    <x v="7"/>
    <x v="0"/>
    <x v="6"/>
    <n v="108"/>
    <n v="10000"/>
    <n v="7000"/>
    <n v="1080000"/>
    <n v="324000"/>
  </r>
  <r>
    <s v="18-01-2021"/>
    <x v="2"/>
    <x v="0"/>
    <x v="5"/>
    <n v="70"/>
    <n v="1000"/>
    <n v="700"/>
    <n v="70000"/>
    <n v="21000"/>
  </r>
  <r>
    <s v="06-06-2020"/>
    <x v="4"/>
    <x v="2"/>
    <x v="5"/>
    <n v="100"/>
    <n v="1000"/>
    <n v="700"/>
    <n v="100000"/>
    <n v="30000"/>
  </r>
  <r>
    <s v="14-01-2021"/>
    <x v="6"/>
    <x v="0"/>
    <x v="4"/>
    <n v="128"/>
    <n v="1200"/>
    <n v="800"/>
    <n v="153600"/>
    <n v="51200"/>
  </r>
  <r>
    <s v="02-01-2021"/>
    <x v="3"/>
    <x v="0"/>
    <x v="3"/>
    <n v="121"/>
    <n v="600"/>
    <n v="400"/>
    <n v="72600"/>
    <n v="24200"/>
  </r>
  <r>
    <s v="31-10-2020"/>
    <x v="4"/>
    <x v="1"/>
    <x v="5"/>
    <n v="115"/>
    <n v="1000"/>
    <n v="700"/>
    <n v="115000"/>
    <n v="34500"/>
  </r>
  <r>
    <s v="11-02-2021"/>
    <x v="5"/>
    <x v="2"/>
    <x v="0"/>
    <n v="67"/>
    <n v="3500"/>
    <n v="2500"/>
    <n v="234500"/>
    <n v="67000"/>
  </r>
  <r>
    <s v="31-08-2021"/>
    <x v="0"/>
    <x v="2"/>
    <x v="2"/>
    <n v="138"/>
    <n v="6000"/>
    <n v="4000"/>
    <n v="828000"/>
    <n v="276000"/>
  </r>
  <r>
    <s v="01-08-2021"/>
    <x v="5"/>
    <x v="2"/>
    <x v="5"/>
    <n v="70"/>
    <n v="1000"/>
    <n v="700"/>
    <n v="70000"/>
    <n v="21000"/>
  </r>
  <r>
    <s v="12-05-2020"/>
    <x v="3"/>
    <x v="0"/>
    <x v="6"/>
    <n v="68"/>
    <n v="10000"/>
    <n v="7000"/>
    <n v="680000"/>
    <n v="204000"/>
  </r>
  <r>
    <s v="29-07-2020"/>
    <x v="1"/>
    <x v="1"/>
    <x v="6"/>
    <n v="52"/>
    <n v="10000"/>
    <n v="7000"/>
    <n v="520000"/>
    <n v="156000"/>
  </r>
  <r>
    <s v="02-05-2020"/>
    <x v="3"/>
    <x v="0"/>
    <x v="3"/>
    <n v="122"/>
    <n v="600"/>
    <n v="400"/>
    <n v="73200"/>
    <n v="24400"/>
  </r>
  <r>
    <s v="12-09-2020"/>
    <x v="4"/>
    <x v="0"/>
    <x v="2"/>
    <n v="130"/>
    <n v="6000"/>
    <n v="4000"/>
    <n v="780000"/>
    <n v="260000"/>
  </r>
  <r>
    <s v="14-06-2021"/>
    <x v="5"/>
    <x v="1"/>
    <x v="3"/>
    <n v="83"/>
    <n v="600"/>
    <n v="400"/>
    <n v="49800"/>
    <n v="16600"/>
  </r>
  <r>
    <s v="22-08-2021"/>
    <x v="9"/>
    <x v="1"/>
    <x v="5"/>
    <n v="64"/>
    <n v="1000"/>
    <n v="700"/>
    <n v="64000"/>
    <n v="19200"/>
  </r>
  <r>
    <s v="11-05-2021"/>
    <x v="9"/>
    <x v="0"/>
    <x v="3"/>
    <n v="52"/>
    <n v="600"/>
    <n v="400"/>
    <n v="31200"/>
    <n v="10400"/>
  </r>
  <r>
    <s v="09-07-2021"/>
    <x v="1"/>
    <x v="0"/>
    <x v="3"/>
    <n v="120"/>
    <n v="600"/>
    <n v="400"/>
    <n v="72000"/>
    <n v="24000"/>
  </r>
  <r>
    <s v="29-05-2021"/>
    <x v="1"/>
    <x v="0"/>
    <x v="0"/>
    <n v="51"/>
    <n v="3500"/>
    <n v="2500"/>
    <n v="178500"/>
    <n v="51000"/>
  </r>
  <r>
    <s v="14-07-2021"/>
    <x v="3"/>
    <x v="3"/>
    <x v="0"/>
    <n v="146"/>
    <n v="3500"/>
    <n v="2500"/>
    <n v="511000"/>
    <n v="146000"/>
  </r>
  <r>
    <s v="07-09-2021"/>
    <x v="2"/>
    <x v="2"/>
    <x v="3"/>
    <n v="148"/>
    <n v="600"/>
    <n v="400"/>
    <n v="88800"/>
    <n v="29600"/>
  </r>
  <r>
    <s v="27-05-2021"/>
    <x v="8"/>
    <x v="3"/>
    <x v="0"/>
    <n v="105"/>
    <n v="3500"/>
    <n v="2500"/>
    <n v="367500"/>
    <n v="105000"/>
  </r>
  <r>
    <s v="22-09-2021"/>
    <x v="0"/>
    <x v="1"/>
    <x v="1"/>
    <n v="119"/>
    <n v="4000"/>
    <n v="3000"/>
    <n v="476000"/>
    <n v="119000"/>
  </r>
  <r>
    <s v="19-07-2020"/>
    <x v="1"/>
    <x v="0"/>
    <x v="1"/>
    <n v="66"/>
    <n v="4000"/>
    <n v="3000"/>
    <n v="264000"/>
    <n v="66000"/>
  </r>
  <r>
    <s v="15-11-2020"/>
    <x v="9"/>
    <x v="1"/>
    <x v="4"/>
    <n v="149"/>
    <n v="1200"/>
    <n v="800"/>
    <n v="178800"/>
    <n v="59600"/>
  </r>
  <r>
    <s v="30-07-2021"/>
    <x v="7"/>
    <x v="0"/>
    <x v="4"/>
    <n v="91"/>
    <n v="1200"/>
    <n v="800"/>
    <n v="109200"/>
    <n v="36400"/>
  </r>
  <r>
    <s v="20-11-2021"/>
    <x v="6"/>
    <x v="1"/>
    <x v="3"/>
    <n v="88"/>
    <n v="600"/>
    <n v="400"/>
    <n v="52800"/>
    <n v="17600"/>
  </r>
  <r>
    <s v="20-11-2020"/>
    <x v="6"/>
    <x v="2"/>
    <x v="2"/>
    <n v="61"/>
    <n v="6000"/>
    <n v="4000"/>
    <n v="366000"/>
    <n v="122000"/>
  </r>
  <r>
    <s v="23-12-2020"/>
    <x v="3"/>
    <x v="1"/>
    <x v="4"/>
    <n v="134"/>
    <n v="1200"/>
    <n v="800"/>
    <n v="160800"/>
    <n v="53600"/>
  </r>
  <r>
    <s v="04-12-2021"/>
    <x v="1"/>
    <x v="2"/>
    <x v="1"/>
    <n v="58"/>
    <n v="4000"/>
    <n v="3000"/>
    <n v="232000"/>
    <n v="58000"/>
  </r>
  <r>
    <s v="24-09-2021"/>
    <x v="0"/>
    <x v="0"/>
    <x v="1"/>
    <n v="83"/>
    <n v="4000"/>
    <n v="3000"/>
    <n v="332000"/>
    <n v="83000"/>
  </r>
  <r>
    <s v="10-07-2020"/>
    <x v="0"/>
    <x v="0"/>
    <x v="6"/>
    <n v="69"/>
    <n v="10000"/>
    <n v="7000"/>
    <n v="690000"/>
    <n v="207000"/>
  </r>
  <r>
    <s v="15-12-2020"/>
    <x v="9"/>
    <x v="0"/>
    <x v="4"/>
    <n v="112"/>
    <n v="1200"/>
    <n v="800"/>
    <n v="134400"/>
    <n v="44800"/>
  </r>
  <r>
    <s v="19-05-2021"/>
    <x v="6"/>
    <x v="0"/>
    <x v="5"/>
    <n v="131"/>
    <n v="1000"/>
    <n v="700"/>
    <n v="131000"/>
    <n v="39300"/>
  </r>
  <r>
    <s v="29-02-2020"/>
    <x v="3"/>
    <x v="3"/>
    <x v="2"/>
    <n v="86"/>
    <n v="6000"/>
    <n v="4000"/>
    <n v="516000"/>
    <n v="172000"/>
  </r>
  <r>
    <s v="07-03-2021"/>
    <x v="1"/>
    <x v="0"/>
    <x v="6"/>
    <n v="105"/>
    <n v="10000"/>
    <n v="7000"/>
    <n v="1050000"/>
    <n v="315000"/>
  </r>
  <r>
    <s v="14-02-2021"/>
    <x v="0"/>
    <x v="1"/>
    <x v="3"/>
    <n v="50"/>
    <n v="600"/>
    <n v="400"/>
    <n v="30000"/>
    <n v="10000"/>
  </r>
  <r>
    <s v="09-07-2020"/>
    <x v="1"/>
    <x v="1"/>
    <x v="5"/>
    <n v="135"/>
    <n v="1000"/>
    <n v="700"/>
    <n v="135000"/>
    <n v="40500"/>
  </r>
  <r>
    <s v="27-06-2021"/>
    <x v="4"/>
    <x v="1"/>
    <x v="0"/>
    <n v="87"/>
    <n v="3500"/>
    <n v="2500"/>
    <n v="304500"/>
    <n v="87000"/>
  </r>
  <r>
    <s v="07-01-2020"/>
    <x v="0"/>
    <x v="3"/>
    <x v="6"/>
    <n v="60"/>
    <n v="10000"/>
    <n v="7000"/>
    <n v="600000"/>
    <n v="180000"/>
  </r>
  <r>
    <s v="27-09-2021"/>
    <x v="3"/>
    <x v="3"/>
    <x v="5"/>
    <n v="58"/>
    <n v="1000"/>
    <n v="700"/>
    <n v="58000"/>
    <n v="17400"/>
  </r>
  <r>
    <s v="29-06-2021"/>
    <x v="0"/>
    <x v="2"/>
    <x v="2"/>
    <n v="99"/>
    <n v="6000"/>
    <n v="4000"/>
    <n v="594000"/>
    <n v="198000"/>
  </r>
  <r>
    <s v="25-06-2021"/>
    <x v="2"/>
    <x v="2"/>
    <x v="5"/>
    <n v="61"/>
    <n v="1000"/>
    <n v="700"/>
    <n v="61000"/>
    <n v="18300"/>
  </r>
  <r>
    <s v="21-11-2020"/>
    <x v="5"/>
    <x v="0"/>
    <x v="0"/>
    <n v="88"/>
    <n v="3500"/>
    <n v="2500"/>
    <n v="308000"/>
    <n v="88000"/>
  </r>
  <r>
    <s v="29-05-2021"/>
    <x v="9"/>
    <x v="0"/>
    <x v="6"/>
    <n v="85"/>
    <n v="10000"/>
    <n v="7000"/>
    <n v="850000"/>
    <n v="255000"/>
  </r>
  <r>
    <s v="11-10-2020"/>
    <x v="6"/>
    <x v="0"/>
    <x v="2"/>
    <n v="134"/>
    <n v="6000"/>
    <n v="4000"/>
    <n v="804000"/>
    <n v="268000"/>
  </r>
  <r>
    <s v="18-02-2021"/>
    <x v="2"/>
    <x v="0"/>
    <x v="5"/>
    <n v="123"/>
    <n v="1000"/>
    <n v="700"/>
    <n v="123000"/>
    <n v="36900"/>
  </r>
  <r>
    <s v="21-07-2020"/>
    <x v="6"/>
    <x v="0"/>
    <x v="0"/>
    <n v="116"/>
    <n v="3500"/>
    <n v="2500"/>
    <n v="406000"/>
    <n v="116000"/>
  </r>
  <r>
    <s v="07-05-2020"/>
    <x v="9"/>
    <x v="0"/>
    <x v="2"/>
    <n v="139"/>
    <n v="6000"/>
    <n v="4000"/>
    <n v="834000"/>
    <n v="278000"/>
  </r>
  <r>
    <s v="06-05-2021"/>
    <x v="1"/>
    <x v="0"/>
    <x v="0"/>
    <n v="131"/>
    <n v="3500"/>
    <n v="2500"/>
    <n v="458500"/>
    <n v="131000"/>
  </r>
  <r>
    <s v="06-07-2021"/>
    <x v="8"/>
    <x v="0"/>
    <x v="2"/>
    <n v="130"/>
    <n v="6000"/>
    <n v="4000"/>
    <n v="780000"/>
    <n v="260000"/>
  </r>
  <r>
    <s v="12-01-2020"/>
    <x v="5"/>
    <x v="2"/>
    <x v="5"/>
    <n v="74"/>
    <n v="1000"/>
    <n v="700"/>
    <n v="74000"/>
    <n v="22200"/>
  </r>
  <r>
    <s v="14-09-2021"/>
    <x v="8"/>
    <x v="1"/>
    <x v="3"/>
    <n v="52"/>
    <n v="600"/>
    <n v="400"/>
    <n v="31200"/>
    <n v="10400"/>
  </r>
  <r>
    <s v="20-01-2020"/>
    <x v="9"/>
    <x v="3"/>
    <x v="2"/>
    <n v="122"/>
    <n v="6000"/>
    <n v="4000"/>
    <n v="732000"/>
    <n v="244000"/>
  </r>
  <r>
    <s v="14-12-2021"/>
    <x v="3"/>
    <x v="1"/>
    <x v="3"/>
    <n v="105"/>
    <n v="600"/>
    <n v="400"/>
    <n v="63000"/>
    <n v="21000"/>
  </r>
  <r>
    <s v="30-09-2021"/>
    <x v="1"/>
    <x v="3"/>
    <x v="1"/>
    <n v="79"/>
    <n v="4000"/>
    <n v="3000"/>
    <n v="316000"/>
    <n v="79000"/>
  </r>
  <r>
    <s v="15-04-2020"/>
    <x v="1"/>
    <x v="1"/>
    <x v="4"/>
    <n v="75"/>
    <n v="1200"/>
    <n v="800"/>
    <n v="90000"/>
    <n v="30000"/>
  </r>
  <r>
    <s v="28-05-2020"/>
    <x v="0"/>
    <x v="1"/>
    <x v="1"/>
    <n v="56"/>
    <n v="4000"/>
    <n v="3000"/>
    <n v="224000"/>
    <n v="56000"/>
  </r>
  <r>
    <s v="18-02-2021"/>
    <x v="5"/>
    <x v="0"/>
    <x v="5"/>
    <n v="97"/>
    <n v="1000"/>
    <n v="700"/>
    <n v="97000"/>
    <n v="29100"/>
  </r>
  <r>
    <s v="07-01-2021"/>
    <x v="5"/>
    <x v="3"/>
    <x v="5"/>
    <n v="83"/>
    <n v="1000"/>
    <n v="700"/>
    <n v="83000"/>
    <n v="24900"/>
  </r>
  <r>
    <s v="10-01-2020"/>
    <x v="8"/>
    <x v="2"/>
    <x v="1"/>
    <n v="78"/>
    <n v="4000"/>
    <n v="3000"/>
    <n v="312000"/>
    <n v="78000"/>
  </r>
  <r>
    <s v="04-04-2021"/>
    <x v="9"/>
    <x v="0"/>
    <x v="6"/>
    <n v="70"/>
    <n v="10000"/>
    <n v="7000"/>
    <n v="700000"/>
    <n v="210000"/>
  </r>
  <r>
    <s v="03-10-2021"/>
    <x v="6"/>
    <x v="0"/>
    <x v="3"/>
    <n v="63"/>
    <n v="600"/>
    <n v="400"/>
    <n v="37800"/>
    <n v="12600"/>
  </r>
  <r>
    <s v="21-01-2021"/>
    <x v="5"/>
    <x v="2"/>
    <x v="0"/>
    <n v="119"/>
    <n v="3500"/>
    <n v="2500"/>
    <n v="416500"/>
    <n v="119000"/>
  </r>
  <r>
    <s v="09-05-2020"/>
    <x v="0"/>
    <x v="0"/>
    <x v="1"/>
    <n v="105"/>
    <n v="4000"/>
    <n v="3000"/>
    <n v="420000"/>
    <n v="105000"/>
  </r>
  <r>
    <s v="01-12-2021"/>
    <x v="9"/>
    <x v="0"/>
    <x v="5"/>
    <n v="147"/>
    <n v="1000"/>
    <n v="700"/>
    <n v="147000"/>
    <n v="44100"/>
  </r>
  <r>
    <s v="31-12-2021"/>
    <x v="7"/>
    <x v="1"/>
    <x v="0"/>
    <n v="66"/>
    <n v="3500"/>
    <n v="2500"/>
    <n v="231000"/>
    <n v="66000"/>
  </r>
  <r>
    <s v="09-09-2020"/>
    <x v="9"/>
    <x v="2"/>
    <x v="2"/>
    <n v="71"/>
    <n v="6000"/>
    <n v="4000"/>
    <n v="426000"/>
    <n v="142000"/>
  </r>
  <r>
    <s v="04-06-2021"/>
    <x v="5"/>
    <x v="1"/>
    <x v="3"/>
    <n v="108"/>
    <n v="600"/>
    <n v="400"/>
    <n v="64800"/>
    <n v="21600"/>
  </r>
  <r>
    <s v="02-07-2021"/>
    <x v="9"/>
    <x v="0"/>
    <x v="4"/>
    <n v="121"/>
    <n v="1200"/>
    <n v="800"/>
    <n v="145200"/>
    <n v="48400"/>
  </r>
  <r>
    <s v="03-06-2020"/>
    <x v="6"/>
    <x v="1"/>
    <x v="2"/>
    <n v="75"/>
    <n v="6000"/>
    <n v="4000"/>
    <n v="450000"/>
    <n v="150000"/>
  </r>
  <r>
    <s v="10-05-2021"/>
    <x v="7"/>
    <x v="3"/>
    <x v="2"/>
    <n v="124"/>
    <n v="6000"/>
    <n v="4000"/>
    <n v="744000"/>
    <n v="248000"/>
  </r>
  <r>
    <s v="05-10-2020"/>
    <x v="6"/>
    <x v="1"/>
    <x v="2"/>
    <n v="84"/>
    <n v="6000"/>
    <n v="4000"/>
    <n v="504000"/>
    <n v="168000"/>
  </r>
  <r>
    <s v="13-05-2020"/>
    <x v="1"/>
    <x v="3"/>
    <x v="0"/>
    <n v="52"/>
    <n v="3500"/>
    <n v="2500"/>
    <n v="182000"/>
    <n v="52000"/>
  </r>
  <r>
    <s v="13-02-2020"/>
    <x v="7"/>
    <x v="0"/>
    <x v="3"/>
    <n v="58"/>
    <n v="600"/>
    <n v="400"/>
    <n v="34800"/>
    <n v="11600"/>
  </r>
  <r>
    <s v="21-02-2020"/>
    <x v="5"/>
    <x v="2"/>
    <x v="0"/>
    <n v="91"/>
    <n v="3500"/>
    <n v="2500"/>
    <n v="318500"/>
    <n v="91000"/>
  </r>
  <r>
    <s v="01-02-2021"/>
    <x v="3"/>
    <x v="1"/>
    <x v="6"/>
    <n v="103"/>
    <n v="10000"/>
    <n v="7000"/>
    <n v="1030000"/>
    <n v="309000"/>
  </r>
  <r>
    <s v="03-03-2020"/>
    <x v="3"/>
    <x v="0"/>
    <x v="1"/>
    <n v="96"/>
    <n v="4000"/>
    <n v="3000"/>
    <n v="384000"/>
    <n v="96000"/>
  </r>
  <r>
    <s v="02-09-2020"/>
    <x v="1"/>
    <x v="1"/>
    <x v="6"/>
    <n v="57"/>
    <n v="10000"/>
    <n v="7000"/>
    <n v="570000"/>
    <n v="171000"/>
  </r>
  <r>
    <s v="05-11-2021"/>
    <x v="2"/>
    <x v="0"/>
    <x v="0"/>
    <n v="99"/>
    <n v="3500"/>
    <n v="2500"/>
    <n v="346500"/>
    <n v="99000"/>
  </r>
  <r>
    <s v="30-01-2020"/>
    <x v="1"/>
    <x v="3"/>
    <x v="4"/>
    <n v="140"/>
    <n v="1200"/>
    <n v="800"/>
    <n v="168000"/>
    <n v="56000"/>
  </r>
  <r>
    <s v="24-07-2020"/>
    <x v="0"/>
    <x v="0"/>
    <x v="0"/>
    <n v="111"/>
    <n v="3500"/>
    <n v="2500"/>
    <n v="388500"/>
    <n v="111000"/>
  </r>
  <r>
    <s v="24-02-2021"/>
    <x v="6"/>
    <x v="3"/>
    <x v="2"/>
    <n v="54"/>
    <n v="6000"/>
    <n v="4000"/>
    <n v="324000"/>
    <n v="108000"/>
  </r>
  <r>
    <s v="09-11-2020"/>
    <x v="5"/>
    <x v="3"/>
    <x v="5"/>
    <n v="69"/>
    <n v="1000"/>
    <n v="700"/>
    <n v="69000"/>
    <n v="20700"/>
  </r>
  <r>
    <s v="12-01-2020"/>
    <x v="5"/>
    <x v="3"/>
    <x v="1"/>
    <n v="140"/>
    <n v="4000"/>
    <n v="3000"/>
    <n v="560000"/>
    <n v="140000"/>
  </r>
  <r>
    <s v="13-02-2021"/>
    <x v="1"/>
    <x v="0"/>
    <x v="2"/>
    <n v="60"/>
    <n v="6000"/>
    <n v="4000"/>
    <n v="360000"/>
    <n v="120000"/>
  </r>
  <r>
    <s v="07-03-2020"/>
    <x v="7"/>
    <x v="2"/>
    <x v="1"/>
    <n v="131"/>
    <n v="4000"/>
    <n v="3000"/>
    <n v="524000"/>
    <n v="131000"/>
  </r>
  <r>
    <s v="15-03-2021"/>
    <x v="8"/>
    <x v="1"/>
    <x v="2"/>
    <n v="66"/>
    <n v="6000"/>
    <n v="4000"/>
    <n v="396000"/>
    <n v="132000"/>
  </r>
  <r>
    <s v="24-11-2020"/>
    <x v="5"/>
    <x v="3"/>
    <x v="3"/>
    <n v="65"/>
    <n v="600"/>
    <n v="400"/>
    <n v="39000"/>
    <n v="13000"/>
  </r>
  <r>
    <s v="03-09-2020"/>
    <x v="3"/>
    <x v="0"/>
    <x v="6"/>
    <n v="98"/>
    <n v="10000"/>
    <n v="7000"/>
    <n v="980000"/>
    <n v="294000"/>
  </r>
  <r>
    <s v="30-11-2021"/>
    <x v="3"/>
    <x v="2"/>
    <x v="4"/>
    <n v="86"/>
    <n v="1200"/>
    <n v="800"/>
    <n v="103200"/>
    <n v="34400"/>
  </r>
  <r>
    <s v="16-08-2020"/>
    <x v="9"/>
    <x v="3"/>
    <x v="5"/>
    <n v="55"/>
    <n v="1000"/>
    <n v="700"/>
    <n v="55000"/>
    <n v="16500"/>
  </r>
  <r>
    <s v="28-12-2020"/>
    <x v="5"/>
    <x v="3"/>
    <x v="1"/>
    <n v="72"/>
    <n v="4000"/>
    <n v="3000"/>
    <n v="288000"/>
    <n v="72000"/>
  </r>
  <r>
    <s v="25-08-2021"/>
    <x v="4"/>
    <x v="3"/>
    <x v="3"/>
    <n v="81"/>
    <n v="600"/>
    <n v="400"/>
    <n v="48600"/>
    <n v="16200"/>
  </r>
  <r>
    <s v="17-04-2020"/>
    <x v="1"/>
    <x v="2"/>
    <x v="6"/>
    <n v="58"/>
    <n v="10000"/>
    <n v="7000"/>
    <n v="580000"/>
    <n v="174000"/>
  </r>
  <r>
    <s v="13-10-2021"/>
    <x v="0"/>
    <x v="1"/>
    <x v="2"/>
    <n v="106"/>
    <n v="6000"/>
    <n v="4000"/>
    <n v="636000"/>
    <n v="212000"/>
  </r>
  <r>
    <s v="24-07-2020"/>
    <x v="4"/>
    <x v="1"/>
    <x v="5"/>
    <n v="120"/>
    <n v="1000"/>
    <n v="700"/>
    <n v="120000"/>
    <n v="36000"/>
  </r>
  <r>
    <s v="16-06-2021"/>
    <x v="2"/>
    <x v="1"/>
    <x v="2"/>
    <n v="138"/>
    <n v="6000"/>
    <n v="4000"/>
    <n v="828000"/>
    <n v="276000"/>
  </r>
  <r>
    <s v="07-06-2020"/>
    <x v="5"/>
    <x v="3"/>
    <x v="1"/>
    <n v="121"/>
    <n v="4000"/>
    <n v="3000"/>
    <n v="484000"/>
    <n v="121000"/>
  </r>
  <r>
    <s v="16-09-2020"/>
    <x v="0"/>
    <x v="1"/>
    <x v="4"/>
    <n v="148"/>
    <n v="1200"/>
    <n v="800"/>
    <n v="177600"/>
    <n v="59200"/>
  </r>
  <r>
    <s v="24-09-2021"/>
    <x v="0"/>
    <x v="3"/>
    <x v="3"/>
    <n v="123"/>
    <n v="600"/>
    <n v="400"/>
    <n v="73800"/>
    <n v="24600"/>
  </r>
  <r>
    <s v="11-09-2021"/>
    <x v="4"/>
    <x v="2"/>
    <x v="5"/>
    <n v="50"/>
    <n v="1000"/>
    <n v="700"/>
    <n v="50000"/>
    <n v="15000"/>
  </r>
  <r>
    <s v="26-10-2020"/>
    <x v="2"/>
    <x v="2"/>
    <x v="3"/>
    <n v="74"/>
    <n v="600"/>
    <n v="400"/>
    <n v="44400"/>
    <n v="14800"/>
  </r>
  <r>
    <s v="05-06-2021"/>
    <x v="1"/>
    <x v="1"/>
    <x v="1"/>
    <n v="108"/>
    <n v="4000"/>
    <n v="3000"/>
    <n v="432000"/>
    <n v="108000"/>
  </r>
  <r>
    <s v="08-01-2020"/>
    <x v="0"/>
    <x v="2"/>
    <x v="5"/>
    <n v="86"/>
    <n v="1000"/>
    <n v="700"/>
    <n v="86000"/>
    <n v="25800"/>
  </r>
  <r>
    <s v="13-12-2020"/>
    <x v="3"/>
    <x v="2"/>
    <x v="1"/>
    <n v="150"/>
    <n v="4000"/>
    <n v="3000"/>
    <n v="600000"/>
    <n v="150000"/>
  </r>
  <r>
    <s v="20-11-2020"/>
    <x v="9"/>
    <x v="2"/>
    <x v="5"/>
    <n v="128"/>
    <n v="1000"/>
    <n v="700"/>
    <n v="128000"/>
    <n v="38400"/>
  </r>
  <r>
    <s v="16-04-2021"/>
    <x v="6"/>
    <x v="1"/>
    <x v="2"/>
    <n v="53"/>
    <n v="6000"/>
    <n v="4000"/>
    <n v="318000"/>
    <n v="106000"/>
  </r>
  <r>
    <s v="04-05-2020"/>
    <x v="2"/>
    <x v="0"/>
    <x v="0"/>
    <n v="56"/>
    <n v="3500"/>
    <n v="2500"/>
    <n v="196000"/>
    <n v="56000"/>
  </r>
  <r>
    <s v="14-02-2021"/>
    <x v="4"/>
    <x v="0"/>
    <x v="4"/>
    <n v="142"/>
    <n v="1200"/>
    <n v="800"/>
    <n v="170400"/>
    <n v="56800"/>
  </r>
  <r>
    <s v="29-07-2020"/>
    <x v="1"/>
    <x v="2"/>
    <x v="3"/>
    <n v="147"/>
    <n v="600"/>
    <n v="400"/>
    <n v="88200"/>
    <n v="29400"/>
  </r>
  <r>
    <s v="05-08-2021"/>
    <x v="6"/>
    <x v="1"/>
    <x v="5"/>
    <n v="106"/>
    <n v="1000"/>
    <n v="700"/>
    <n v="106000"/>
    <n v="31800"/>
  </r>
  <r>
    <s v="21-04-2020"/>
    <x v="0"/>
    <x v="0"/>
    <x v="0"/>
    <n v="147"/>
    <n v="3500"/>
    <n v="2500"/>
    <n v="514500"/>
    <n v="147000"/>
  </r>
  <r>
    <s v="02-07-2021"/>
    <x v="2"/>
    <x v="0"/>
    <x v="3"/>
    <n v="90"/>
    <n v="600"/>
    <n v="400"/>
    <n v="54000"/>
    <n v="18000"/>
  </r>
  <r>
    <s v="11-09-2021"/>
    <x v="1"/>
    <x v="0"/>
    <x v="4"/>
    <n v="116"/>
    <n v="1200"/>
    <n v="800"/>
    <n v="139200"/>
    <n v="46400"/>
  </r>
  <r>
    <s v="27-04-2021"/>
    <x v="4"/>
    <x v="1"/>
    <x v="4"/>
    <n v="69"/>
    <n v="1200"/>
    <n v="800"/>
    <n v="82800"/>
    <n v="27600"/>
  </r>
  <r>
    <s v="09-04-2021"/>
    <x v="3"/>
    <x v="0"/>
    <x v="0"/>
    <n v="145"/>
    <n v="3500"/>
    <n v="2500"/>
    <n v="507500"/>
    <n v="145000"/>
  </r>
  <r>
    <s v="19-03-2021"/>
    <x v="5"/>
    <x v="0"/>
    <x v="4"/>
    <n v="131"/>
    <n v="1200"/>
    <n v="800"/>
    <n v="157200"/>
    <n v="52400"/>
  </r>
  <r>
    <s v="12-01-2020"/>
    <x v="1"/>
    <x v="3"/>
    <x v="4"/>
    <n v="72"/>
    <n v="1200"/>
    <n v="800"/>
    <n v="86400"/>
    <n v="28800"/>
  </r>
  <r>
    <s v="14-03-2021"/>
    <x v="5"/>
    <x v="3"/>
    <x v="5"/>
    <n v="126"/>
    <n v="1000"/>
    <n v="700"/>
    <n v="126000"/>
    <n v="37800"/>
  </r>
  <r>
    <s v="16-11-2020"/>
    <x v="9"/>
    <x v="3"/>
    <x v="0"/>
    <n v="74"/>
    <n v="3500"/>
    <n v="2500"/>
    <n v="259000"/>
    <n v="74000"/>
  </r>
  <r>
    <s v="25-05-2020"/>
    <x v="3"/>
    <x v="0"/>
    <x v="0"/>
    <n v="121"/>
    <n v="3500"/>
    <n v="2500"/>
    <n v="423500"/>
    <n v="121000"/>
  </r>
  <r>
    <s v="24-02-2020"/>
    <x v="5"/>
    <x v="2"/>
    <x v="3"/>
    <n v="141"/>
    <n v="600"/>
    <n v="400"/>
    <n v="84600"/>
    <n v="28200"/>
  </r>
  <r>
    <s v="01-01-2021"/>
    <x v="3"/>
    <x v="3"/>
    <x v="4"/>
    <n v="120"/>
    <n v="1200"/>
    <n v="800"/>
    <n v="144000"/>
    <n v="48000"/>
  </r>
  <r>
    <s v="23-10-2020"/>
    <x v="1"/>
    <x v="2"/>
    <x v="0"/>
    <n v="104"/>
    <n v="3500"/>
    <n v="2500"/>
    <n v="364000"/>
    <n v="104000"/>
  </r>
  <r>
    <s v="15-01-2021"/>
    <x v="4"/>
    <x v="2"/>
    <x v="3"/>
    <n v="72"/>
    <n v="600"/>
    <n v="400"/>
    <n v="43200"/>
    <n v="14400"/>
  </r>
  <r>
    <s v="18-03-2020"/>
    <x v="6"/>
    <x v="2"/>
    <x v="2"/>
    <n v="118"/>
    <n v="6000"/>
    <n v="4000"/>
    <n v="708000"/>
    <n v="236000"/>
  </r>
  <r>
    <s v="20-05-2021"/>
    <x v="0"/>
    <x v="3"/>
    <x v="4"/>
    <n v="83"/>
    <n v="1200"/>
    <n v="800"/>
    <n v="99600"/>
    <n v="33200"/>
  </r>
  <r>
    <s v="04-04-2021"/>
    <x v="5"/>
    <x v="1"/>
    <x v="2"/>
    <n v="54"/>
    <n v="6000"/>
    <n v="4000"/>
    <n v="324000"/>
    <n v="108000"/>
  </r>
  <r>
    <s v="24-01-2020"/>
    <x v="0"/>
    <x v="1"/>
    <x v="1"/>
    <n v="61"/>
    <n v="4000"/>
    <n v="3000"/>
    <n v="244000"/>
    <n v="61000"/>
  </r>
  <r>
    <s v="05-01-2021"/>
    <x v="0"/>
    <x v="2"/>
    <x v="1"/>
    <n v="52"/>
    <n v="4000"/>
    <n v="3000"/>
    <n v="208000"/>
    <n v="52000"/>
  </r>
  <r>
    <s v="15-03-2020"/>
    <x v="0"/>
    <x v="2"/>
    <x v="5"/>
    <n v="123"/>
    <n v="1000"/>
    <n v="700"/>
    <n v="123000"/>
    <n v="36900"/>
  </r>
  <r>
    <s v="30-06-2020"/>
    <x v="7"/>
    <x v="0"/>
    <x v="2"/>
    <n v="73"/>
    <n v="6000"/>
    <n v="4000"/>
    <n v="438000"/>
    <n v="146000"/>
  </r>
  <r>
    <s v="26-02-2021"/>
    <x v="3"/>
    <x v="0"/>
    <x v="2"/>
    <n v="58"/>
    <n v="6000"/>
    <n v="4000"/>
    <n v="348000"/>
    <n v="116000"/>
  </r>
  <r>
    <s v="03-07-2021"/>
    <x v="9"/>
    <x v="1"/>
    <x v="6"/>
    <n v="144"/>
    <n v="10000"/>
    <n v="7000"/>
    <n v="1440000"/>
    <n v="432000"/>
  </r>
  <r>
    <s v="24-02-2021"/>
    <x v="1"/>
    <x v="2"/>
    <x v="6"/>
    <n v="122"/>
    <n v="10000"/>
    <n v="7000"/>
    <n v="1220000"/>
    <n v="366000"/>
  </r>
  <r>
    <s v="21-12-2020"/>
    <x v="3"/>
    <x v="3"/>
    <x v="6"/>
    <n v="82"/>
    <n v="10000"/>
    <n v="7000"/>
    <n v="820000"/>
    <n v="246000"/>
  </r>
  <r>
    <s v="07-11-2020"/>
    <x v="1"/>
    <x v="1"/>
    <x v="5"/>
    <n v="86"/>
    <n v="1000"/>
    <n v="700"/>
    <n v="86000"/>
    <n v="25800"/>
  </r>
  <r>
    <s v="11-03-2020"/>
    <x v="7"/>
    <x v="0"/>
    <x v="5"/>
    <n v="91"/>
    <n v="1000"/>
    <n v="700"/>
    <n v="91000"/>
    <n v="27300"/>
  </r>
  <r>
    <s v="29-05-2020"/>
    <x v="0"/>
    <x v="0"/>
    <x v="0"/>
    <n v="92"/>
    <n v="3500"/>
    <n v="2500"/>
    <n v="322000"/>
    <n v="92000"/>
  </r>
  <r>
    <s v="26-07-2020"/>
    <x v="5"/>
    <x v="0"/>
    <x v="1"/>
    <n v="71"/>
    <n v="4000"/>
    <n v="3000"/>
    <n v="284000"/>
    <n v="71000"/>
  </r>
  <r>
    <s v="31-05-2020"/>
    <x v="1"/>
    <x v="0"/>
    <x v="4"/>
    <n v="113"/>
    <n v="1200"/>
    <n v="800"/>
    <n v="135600"/>
    <n v="45200"/>
  </r>
  <r>
    <s v="31-05-2020"/>
    <x v="3"/>
    <x v="2"/>
    <x v="5"/>
    <n v="108"/>
    <n v="1000"/>
    <n v="700"/>
    <n v="108000"/>
    <n v="32400"/>
  </r>
  <r>
    <s v="09-09-2020"/>
    <x v="7"/>
    <x v="1"/>
    <x v="5"/>
    <n v="149"/>
    <n v="1000"/>
    <n v="700"/>
    <n v="149000"/>
    <n v="44700"/>
  </r>
  <r>
    <s v="14-04-2021"/>
    <x v="9"/>
    <x v="1"/>
    <x v="5"/>
    <n v="58"/>
    <n v="1000"/>
    <n v="700"/>
    <n v="58000"/>
    <n v="17400"/>
  </r>
  <r>
    <s v="28-02-2020"/>
    <x v="3"/>
    <x v="3"/>
    <x v="2"/>
    <n v="138"/>
    <n v="6000"/>
    <n v="4000"/>
    <n v="828000"/>
    <n v="276000"/>
  </r>
  <r>
    <s v="15-11-2021"/>
    <x v="8"/>
    <x v="2"/>
    <x v="0"/>
    <n v="145"/>
    <n v="3500"/>
    <n v="2500"/>
    <n v="507500"/>
    <n v="145000"/>
  </r>
  <r>
    <s v="03-05-2020"/>
    <x v="3"/>
    <x v="2"/>
    <x v="4"/>
    <n v="78"/>
    <n v="1200"/>
    <n v="800"/>
    <n v="93600"/>
    <n v="31200"/>
  </r>
  <r>
    <s v="27-01-2020"/>
    <x v="8"/>
    <x v="2"/>
    <x v="2"/>
    <n v="135"/>
    <n v="6000"/>
    <n v="4000"/>
    <n v="810000"/>
    <n v="270000"/>
  </r>
  <r>
    <s v="22-01-2021"/>
    <x v="3"/>
    <x v="0"/>
    <x v="4"/>
    <n v="68"/>
    <n v="1200"/>
    <n v="800"/>
    <n v="81600"/>
    <n v="27200"/>
  </r>
  <r>
    <s v="01-05-2020"/>
    <x v="4"/>
    <x v="3"/>
    <x v="1"/>
    <n v="53"/>
    <n v="4000"/>
    <n v="3000"/>
    <n v="212000"/>
    <n v="53000"/>
  </r>
  <r>
    <s v="19-02-2021"/>
    <x v="7"/>
    <x v="3"/>
    <x v="0"/>
    <n v="85"/>
    <n v="3500"/>
    <n v="2500"/>
    <n v="297500"/>
    <n v="85000"/>
  </r>
  <r>
    <s v="28-05-2021"/>
    <x v="5"/>
    <x v="1"/>
    <x v="1"/>
    <n v="84"/>
    <n v="4000"/>
    <n v="3000"/>
    <n v="336000"/>
    <n v="84000"/>
  </r>
  <r>
    <s v="04-06-2021"/>
    <x v="5"/>
    <x v="2"/>
    <x v="4"/>
    <n v="130"/>
    <n v="1200"/>
    <n v="800"/>
    <n v="156000"/>
    <n v="52000"/>
  </r>
  <r>
    <s v="04-02-2021"/>
    <x v="2"/>
    <x v="0"/>
    <x v="6"/>
    <n v="115"/>
    <n v="10000"/>
    <n v="7000"/>
    <n v="1150000"/>
    <n v="345000"/>
  </r>
  <r>
    <s v="25-01-2021"/>
    <x v="3"/>
    <x v="3"/>
    <x v="6"/>
    <n v="91"/>
    <n v="10000"/>
    <n v="7000"/>
    <n v="910000"/>
    <n v="273000"/>
  </r>
  <r>
    <s v="08-10-2020"/>
    <x v="9"/>
    <x v="2"/>
    <x v="4"/>
    <n v="122"/>
    <n v="1200"/>
    <n v="800"/>
    <n v="146400"/>
    <n v="48800"/>
  </r>
  <r>
    <s v="27-10-2021"/>
    <x v="3"/>
    <x v="1"/>
    <x v="2"/>
    <n v="56"/>
    <n v="6000"/>
    <n v="4000"/>
    <n v="336000"/>
    <n v="112000"/>
  </r>
  <r>
    <s v="06-04-2020"/>
    <x v="1"/>
    <x v="1"/>
    <x v="5"/>
    <n v="145"/>
    <n v="1000"/>
    <n v="700"/>
    <n v="145000"/>
    <n v="43500"/>
  </r>
  <r>
    <s v="17-12-2021"/>
    <x v="9"/>
    <x v="2"/>
    <x v="2"/>
    <n v="53"/>
    <n v="6000"/>
    <n v="4000"/>
    <n v="318000"/>
    <n v="106000"/>
  </r>
  <r>
    <s v="19-02-2021"/>
    <x v="5"/>
    <x v="3"/>
    <x v="3"/>
    <n v="132"/>
    <n v="600"/>
    <n v="400"/>
    <n v="79200"/>
    <n v="26400"/>
  </r>
  <r>
    <s v="02-07-2020"/>
    <x v="9"/>
    <x v="0"/>
    <x v="5"/>
    <n v="97"/>
    <n v="1000"/>
    <n v="700"/>
    <n v="97000"/>
    <n v="29100"/>
  </r>
  <r>
    <s v="27-12-2020"/>
    <x v="0"/>
    <x v="0"/>
    <x v="1"/>
    <n v="140"/>
    <n v="4000"/>
    <n v="3000"/>
    <n v="560000"/>
    <n v="140000"/>
  </r>
  <r>
    <s v="03-10-2021"/>
    <x v="2"/>
    <x v="1"/>
    <x v="5"/>
    <n v="104"/>
    <n v="1000"/>
    <n v="700"/>
    <n v="104000"/>
    <n v="31200"/>
  </r>
  <r>
    <s v="14-05-2021"/>
    <x v="5"/>
    <x v="2"/>
    <x v="2"/>
    <n v="141"/>
    <n v="6000"/>
    <n v="4000"/>
    <n v="846000"/>
    <n v="282000"/>
  </r>
  <r>
    <s v="02-01-2021"/>
    <x v="2"/>
    <x v="2"/>
    <x v="3"/>
    <n v="147"/>
    <n v="600"/>
    <n v="400"/>
    <n v="88200"/>
    <n v="29400"/>
  </r>
  <r>
    <s v="28-12-2021"/>
    <x v="1"/>
    <x v="3"/>
    <x v="6"/>
    <n v="121"/>
    <n v="10000"/>
    <n v="7000"/>
    <n v="1210000"/>
    <n v="363000"/>
  </r>
  <r>
    <s v="21-06-2021"/>
    <x v="4"/>
    <x v="2"/>
    <x v="6"/>
    <n v="88"/>
    <n v="10000"/>
    <n v="7000"/>
    <n v="880000"/>
    <n v="264000"/>
  </r>
  <r>
    <s v="20-09-2021"/>
    <x v="8"/>
    <x v="2"/>
    <x v="5"/>
    <n v="109"/>
    <n v="1000"/>
    <n v="700"/>
    <n v="109000"/>
    <n v="32700"/>
  </r>
  <r>
    <s v="21-01-2021"/>
    <x v="5"/>
    <x v="1"/>
    <x v="0"/>
    <n v="64"/>
    <n v="3500"/>
    <n v="2500"/>
    <n v="224000"/>
    <n v="64000"/>
  </r>
  <r>
    <s v="19-08-2020"/>
    <x v="5"/>
    <x v="0"/>
    <x v="2"/>
    <n v="81"/>
    <n v="6000"/>
    <n v="4000"/>
    <n v="486000"/>
    <n v="162000"/>
  </r>
  <r>
    <s v="10-05-2021"/>
    <x v="4"/>
    <x v="1"/>
    <x v="2"/>
    <n v="135"/>
    <n v="6000"/>
    <n v="4000"/>
    <n v="810000"/>
    <n v="270000"/>
  </r>
  <r>
    <s v="26-02-2021"/>
    <x v="4"/>
    <x v="2"/>
    <x v="4"/>
    <n v="114"/>
    <n v="1200"/>
    <n v="800"/>
    <n v="136800"/>
    <n v="45600"/>
  </r>
  <r>
    <s v="18-11-2020"/>
    <x v="8"/>
    <x v="2"/>
    <x v="5"/>
    <n v="126"/>
    <n v="1000"/>
    <n v="700"/>
    <n v="126000"/>
    <n v="37800"/>
  </r>
  <r>
    <s v="27-09-2020"/>
    <x v="3"/>
    <x v="0"/>
    <x v="4"/>
    <n v="67"/>
    <n v="1200"/>
    <n v="800"/>
    <n v="80400"/>
    <n v="26800"/>
  </r>
  <r>
    <s v="24-09-2021"/>
    <x v="1"/>
    <x v="1"/>
    <x v="4"/>
    <n v="91"/>
    <n v="1200"/>
    <n v="800"/>
    <n v="109200"/>
    <n v="36400"/>
  </r>
  <r>
    <s v="29-01-2021"/>
    <x v="8"/>
    <x v="0"/>
    <x v="3"/>
    <n v="116"/>
    <n v="600"/>
    <n v="400"/>
    <n v="69600"/>
    <n v="23200"/>
  </r>
  <r>
    <s v="25-09-2020"/>
    <x v="2"/>
    <x v="3"/>
    <x v="3"/>
    <n v="53"/>
    <n v="600"/>
    <n v="400"/>
    <n v="31800"/>
    <n v="10600"/>
  </r>
  <r>
    <s v="30-06-2021"/>
    <x v="6"/>
    <x v="1"/>
    <x v="1"/>
    <n v="138"/>
    <n v="4000"/>
    <n v="3000"/>
    <n v="552000"/>
    <n v="138000"/>
  </r>
  <r>
    <s v="05-06-2020"/>
    <x v="2"/>
    <x v="1"/>
    <x v="4"/>
    <n v="55"/>
    <n v="1200"/>
    <n v="800"/>
    <n v="66000"/>
    <n v="22000"/>
  </r>
  <r>
    <s v="18-01-2021"/>
    <x v="5"/>
    <x v="2"/>
    <x v="6"/>
    <n v="106"/>
    <n v="10000"/>
    <n v="7000"/>
    <n v="1060000"/>
    <n v="318000"/>
  </r>
  <r>
    <s v="21-06-2021"/>
    <x v="4"/>
    <x v="0"/>
    <x v="1"/>
    <n v="76"/>
    <n v="4000"/>
    <n v="3000"/>
    <n v="304000"/>
    <n v="76000"/>
  </r>
  <r>
    <s v="24-02-2021"/>
    <x v="1"/>
    <x v="1"/>
    <x v="0"/>
    <n v="50"/>
    <n v="3500"/>
    <n v="2500"/>
    <n v="175000"/>
    <n v="50000"/>
  </r>
  <r>
    <s v="03-05-2021"/>
    <x v="1"/>
    <x v="1"/>
    <x v="1"/>
    <n v="106"/>
    <n v="4000"/>
    <n v="3000"/>
    <n v="424000"/>
    <n v="106000"/>
  </r>
  <r>
    <s v="19-10-2020"/>
    <x v="1"/>
    <x v="1"/>
    <x v="2"/>
    <n v="120"/>
    <n v="6000"/>
    <n v="4000"/>
    <n v="720000"/>
    <n v="240000"/>
  </r>
  <r>
    <s v="20-01-2020"/>
    <x v="6"/>
    <x v="3"/>
    <x v="2"/>
    <n v="138"/>
    <n v="6000"/>
    <n v="4000"/>
    <n v="828000"/>
    <n v="276000"/>
  </r>
  <r>
    <s v="18-07-2021"/>
    <x v="8"/>
    <x v="2"/>
    <x v="2"/>
    <n v="98"/>
    <n v="6000"/>
    <n v="4000"/>
    <n v="588000"/>
    <n v="196000"/>
  </r>
  <r>
    <s v="14-05-2021"/>
    <x v="4"/>
    <x v="2"/>
    <x v="2"/>
    <n v="147"/>
    <n v="6000"/>
    <n v="4000"/>
    <n v="882000"/>
    <n v="294000"/>
  </r>
  <r>
    <s v="11-03-2021"/>
    <x v="7"/>
    <x v="0"/>
    <x v="6"/>
    <n v="93"/>
    <n v="10000"/>
    <n v="7000"/>
    <n v="930000"/>
    <n v="279000"/>
  </r>
  <r>
    <s v="20-07-2020"/>
    <x v="0"/>
    <x v="3"/>
    <x v="5"/>
    <n v="149"/>
    <n v="1000"/>
    <n v="700"/>
    <n v="149000"/>
    <n v="44700"/>
  </r>
  <r>
    <s v="14-02-2021"/>
    <x v="3"/>
    <x v="0"/>
    <x v="3"/>
    <n v="79"/>
    <n v="600"/>
    <n v="400"/>
    <n v="47400"/>
    <n v="15800"/>
  </r>
  <r>
    <s v="06-09-2020"/>
    <x v="5"/>
    <x v="2"/>
    <x v="3"/>
    <n v="71"/>
    <n v="600"/>
    <n v="400"/>
    <n v="42600"/>
    <n v="14200"/>
  </r>
  <r>
    <s v="12-04-2021"/>
    <x v="1"/>
    <x v="3"/>
    <x v="5"/>
    <n v="130"/>
    <n v="1000"/>
    <n v="700"/>
    <n v="130000"/>
    <n v="39000"/>
  </r>
  <r>
    <s v="04-01-2020"/>
    <x v="5"/>
    <x v="2"/>
    <x v="4"/>
    <n v="76"/>
    <n v="1200"/>
    <n v="800"/>
    <n v="91200"/>
    <n v="30400"/>
  </r>
  <r>
    <s v="13-04-2021"/>
    <x v="9"/>
    <x v="2"/>
    <x v="0"/>
    <n v="81"/>
    <n v="3500"/>
    <n v="2500"/>
    <n v="283500"/>
    <n v="81000"/>
  </r>
  <r>
    <s v="19-04-2021"/>
    <x v="6"/>
    <x v="1"/>
    <x v="3"/>
    <n v="84"/>
    <n v="600"/>
    <n v="400"/>
    <n v="50400"/>
    <n v="16800"/>
  </r>
  <r>
    <s v="16-10-2021"/>
    <x v="1"/>
    <x v="0"/>
    <x v="6"/>
    <n v="126"/>
    <n v="10000"/>
    <n v="7000"/>
    <n v="1260000"/>
    <n v="378000"/>
  </r>
  <r>
    <s v="09-01-2021"/>
    <x v="8"/>
    <x v="3"/>
    <x v="3"/>
    <n v="90"/>
    <n v="600"/>
    <n v="400"/>
    <n v="54000"/>
    <n v="18000"/>
  </r>
  <r>
    <s v="02-12-2021"/>
    <x v="9"/>
    <x v="2"/>
    <x v="4"/>
    <n v="67"/>
    <n v="1200"/>
    <n v="800"/>
    <n v="80400"/>
    <n v="26800"/>
  </r>
  <r>
    <s v="21-04-2021"/>
    <x v="0"/>
    <x v="0"/>
    <x v="0"/>
    <n v="62"/>
    <n v="3500"/>
    <n v="2500"/>
    <n v="217000"/>
    <n v="62000"/>
  </r>
  <r>
    <s v="17-01-2020"/>
    <x v="8"/>
    <x v="3"/>
    <x v="6"/>
    <n v="149"/>
    <n v="10000"/>
    <n v="7000"/>
    <n v="1490000"/>
    <n v="447000"/>
  </r>
  <r>
    <s v="30-08-2020"/>
    <x v="2"/>
    <x v="2"/>
    <x v="1"/>
    <n v="135"/>
    <n v="4000"/>
    <n v="3000"/>
    <n v="540000"/>
    <n v="135000"/>
  </r>
  <r>
    <s v="17-10-2020"/>
    <x v="5"/>
    <x v="1"/>
    <x v="5"/>
    <n v="88"/>
    <n v="1000"/>
    <n v="700"/>
    <n v="88000"/>
    <n v="26400"/>
  </r>
  <r>
    <s v="15-03-2020"/>
    <x v="3"/>
    <x v="2"/>
    <x v="5"/>
    <n v="139"/>
    <n v="1000"/>
    <n v="700"/>
    <n v="139000"/>
    <n v="41700"/>
  </r>
  <r>
    <s v="13-09-2020"/>
    <x v="1"/>
    <x v="1"/>
    <x v="4"/>
    <n v="129"/>
    <n v="1200"/>
    <n v="800"/>
    <n v="154800"/>
    <n v="51600"/>
  </r>
  <r>
    <s v="08-08-2021"/>
    <x v="3"/>
    <x v="2"/>
    <x v="0"/>
    <n v="66"/>
    <n v="3500"/>
    <n v="2500"/>
    <n v="231000"/>
    <n v="66000"/>
  </r>
  <r>
    <s v="21-09-2020"/>
    <x v="9"/>
    <x v="2"/>
    <x v="4"/>
    <n v="56"/>
    <n v="1200"/>
    <n v="800"/>
    <n v="67200"/>
    <n v="22400"/>
  </r>
  <r>
    <s v="27-05-2020"/>
    <x v="5"/>
    <x v="3"/>
    <x v="6"/>
    <n v="77"/>
    <n v="10000"/>
    <n v="7000"/>
    <n v="770000"/>
    <n v="231000"/>
  </r>
  <r>
    <s v="24-10-2021"/>
    <x v="5"/>
    <x v="3"/>
    <x v="3"/>
    <n v="107"/>
    <n v="600"/>
    <n v="400"/>
    <n v="64200"/>
    <n v="21400"/>
  </r>
  <r>
    <s v="27-12-2021"/>
    <x v="7"/>
    <x v="3"/>
    <x v="1"/>
    <n v="77"/>
    <n v="4000"/>
    <n v="3000"/>
    <n v="308000"/>
    <n v="77000"/>
  </r>
  <r>
    <s v="03-11-2020"/>
    <x v="1"/>
    <x v="3"/>
    <x v="5"/>
    <n v="146"/>
    <n v="1000"/>
    <n v="700"/>
    <n v="146000"/>
    <n v="43800"/>
  </r>
  <r>
    <s v="16-02-2021"/>
    <x v="7"/>
    <x v="3"/>
    <x v="6"/>
    <n v="53"/>
    <n v="10000"/>
    <n v="7000"/>
    <n v="530000"/>
    <n v="159000"/>
  </r>
  <r>
    <s v="28-10-2021"/>
    <x v="6"/>
    <x v="0"/>
    <x v="3"/>
    <n v="115"/>
    <n v="600"/>
    <n v="400"/>
    <n v="69000"/>
    <n v="23000"/>
  </r>
  <r>
    <s v="25-01-2020"/>
    <x v="5"/>
    <x v="0"/>
    <x v="4"/>
    <n v="120"/>
    <n v="1200"/>
    <n v="800"/>
    <n v="144000"/>
    <n v="48000"/>
  </r>
  <r>
    <s v="30-05-2020"/>
    <x v="6"/>
    <x v="1"/>
    <x v="0"/>
    <n v="69"/>
    <n v="3500"/>
    <n v="2500"/>
    <n v="241500"/>
    <n v="69000"/>
  </r>
  <r>
    <s v="28-08-2021"/>
    <x v="1"/>
    <x v="2"/>
    <x v="6"/>
    <n v="122"/>
    <n v="10000"/>
    <n v="7000"/>
    <n v="1220000"/>
    <n v="366000"/>
  </r>
  <r>
    <s v="11-06-2020"/>
    <x v="7"/>
    <x v="3"/>
    <x v="5"/>
    <n v="68"/>
    <n v="1000"/>
    <n v="700"/>
    <n v="68000"/>
    <n v="20400"/>
  </r>
  <r>
    <s v="10-10-2020"/>
    <x v="4"/>
    <x v="2"/>
    <x v="0"/>
    <n v="61"/>
    <n v="3500"/>
    <n v="2500"/>
    <n v="213500"/>
    <n v="61000"/>
  </r>
  <r>
    <s v="11-04-2021"/>
    <x v="9"/>
    <x v="2"/>
    <x v="2"/>
    <n v="50"/>
    <n v="6000"/>
    <n v="4000"/>
    <n v="300000"/>
    <n v="100000"/>
  </r>
  <r>
    <s v="03-12-2021"/>
    <x v="1"/>
    <x v="2"/>
    <x v="5"/>
    <n v="124"/>
    <n v="1000"/>
    <n v="700"/>
    <n v="124000"/>
    <n v="37200"/>
  </r>
  <r>
    <s v="28-07-2020"/>
    <x v="0"/>
    <x v="3"/>
    <x v="0"/>
    <n v="129"/>
    <n v="3500"/>
    <n v="2500"/>
    <n v="451500"/>
    <n v="129000"/>
  </r>
  <r>
    <s v="08-11-2020"/>
    <x v="8"/>
    <x v="0"/>
    <x v="2"/>
    <n v="118"/>
    <n v="6000"/>
    <n v="4000"/>
    <n v="708000"/>
    <n v="236000"/>
  </r>
  <r>
    <s v="09-08-2021"/>
    <x v="2"/>
    <x v="1"/>
    <x v="4"/>
    <n v="94"/>
    <n v="1200"/>
    <n v="800"/>
    <n v="112800"/>
    <n v="37600"/>
  </r>
  <r>
    <s v="10-02-2021"/>
    <x v="5"/>
    <x v="1"/>
    <x v="6"/>
    <n v="88"/>
    <n v="10000"/>
    <n v="7000"/>
    <n v="880000"/>
    <n v="264000"/>
  </r>
  <r>
    <s v="04-06-2021"/>
    <x v="7"/>
    <x v="0"/>
    <x v="4"/>
    <n v="57"/>
    <n v="1200"/>
    <n v="800"/>
    <n v="68400"/>
    <n v="22800"/>
  </r>
  <r>
    <s v="09-01-2020"/>
    <x v="6"/>
    <x v="1"/>
    <x v="4"/>
    <n v="85"/>
    <n v="1200"/>
    <n v="800"/>
    <n v="102000"/>
    <n v="34000"/>
  </r>
  <r>
    <s v="28-09-2020"/>
    <x v="9"/>
    <x v="1"/>
    <x v="4"/>
    <n v="141"/>
    <n v="1200"/>
    <n v="800"/>
    <n v="169200"/>
    <n v="56400"/>
  </r>
  <r>
    <s v="09-07-2021"/>
    <x v="5"/>
    <x v="0"/>
    <x v="6"/>
    <n v="76"/>
    <n v="10000"/>
    <n v="7000"/>
    <n v="760000"/>
    <n v="228000"/>
  </r>
  <r>
    <s v="20-04-2021"/>
    <x v="6"/>
    <x v="1"/>
    <x v="0"/>
    <n v="90"/>
    <n v="3500"/>
    <n v="2500"/>
    <n v="315000"/>
    <n v="90000"/>
  </r>
  <r>
    <s v="31-12-2021"/>
    <x v="9"/>
    <x v="1"/>
    <x v="5"/>
    <n v="116"/>
    <n v="1000"/>
    <n v="700"/>
    <n v="116000"/>
    <n v="34800"/>
  </r>
  <r>
    <s v="24-11-2021"/>
    <x v="7"/>
    <x v="1"/>
    <x v="5"/>
    <n v="117"/>
    <n v="1000"/>
    <n v="700"/>
    <n v="117000"/>
    <n v="35100"/>
  </r>
  <r>
    <s v="06-12-2020"/>
    <x v="4"/>
    <x v="2"/>
    <x v="1"/>
    <n v="63"/>
    <n v="4000"/>
    <n v="3000"/>
    <n v="252000"/>
    <n v="63000"/>
  </r>
  <r>
    <s v="19-11-2021"/>
    <x v="6"/>
    <x v="3"/>
    <x v="2"/>
    <n v="140"/>
    <n v="6000"/>
    <n v="4000"/>
    <n v="840000"/>
    <n v="280000"/>
  </r>
  <r>
    <s v="30-07-2020"/>
    <x v="8"/>
    <x v="3"/>
    <x v="3"/>
    <n v="141"/>
    <n v="600"/>
    <n v="400"/>
    <n v="84600"/>
    <n v="28200"/>
  </r>
  <r>
    <s v="17-03-2020"/>
    <x v="5"/>
    <x v="1"/>
    <x v="2"/>
    <n v="84"/>
    <n v="6000"/>
    <n v="4000"/>
    <n v="504000"/>
    <n v="168000"/>
  </r>
  <r>
    <s v="04-09-2021"/>
    <x v="1"/>
    <x v="1"/>
    <x v="2"/>
    <n v="65"/>
    <n v="6000"/>
    <n v="4000"/>
    <n v="390000"/>
    <n v="130000"/>
  </r>
  <r>
    <s v="30-07-2021"/>
    <x v="7"/>
    <x v="3"/>
    <x v="1"/>
    <n v="133"/>
    <n v="4000"/>
    <n v="3000"/>
    <n v="532000"/>
    <n v="133000"/>
  </r>
  <r>
    <s v="03-06-2020"/>
    <x v="7"/>
    <x v="2"/>
    <x v="2"/>
    <n v="111"/>
    <n v="6000"/>
    <n v="4000"/>
    <n v="666000"/>
    <n v="222000"/>
  </r>
  <r>
    <s v="19-02-2020"/>
    <x v="5"/>
    <x v="1"/>
    <x v="0"/>
    <n v="88"/>
    <n v="3500"/>
    <n v="2500"/>
    <n v="308000"/>
    <n v="88000"/>
  </r>
  <r>
    <s v="09-11-2021"/>
    <x v="5"/>
    <x v="3"/>
    <x v="5"/>
    <n v="72"/>
    <n v="1000"/>
    <n v="700"/>
    <n v="72000"/>
    <n v="21600"/>
  </r>
  <r>
    <s v="02-07-2021"/>
    <x v="9"/>
    <x v="0"/>
    <x v="5"/>
    <n v="129"/>
    <n v="1000"/>
    <n v="700"/>
    <n v="129000"/>
    <n v="38700"/>
  </r>
  <r>
    <s v="01-02-2021"/>
    <x v="5"/>
    <x v="3"/>
    <x v="6"/>
    <n v="131"/>
    <n v="10000"/>
    <n v="7000"/>
    <n v="1310000"/>
    <n v="393000"/>
  </r>
  <r>
    <s v="06-12-2021"/>
    <x v="7"/>
    <x v="2"/>
    <x v="3"/>
    <n v="132"/>
    <n v="600"/>
    <n v="400"/>
    <n v="79200"/>
    <n v="26400"/>
  </r>
  <r>
    <s v="03-02-2021"/>
    <x v="0"/>
    <x v="2"/>
    <x v="3"/>
    <n v="137"/>
    <n v="600"/>
    <n v="400"/>
    <n v="82200"/>
    <n v="27400"/>
  </r>
  <r>
    <s v="22-11-2020"/>
    <x v="2"/>
    <x v="0"/>
    <x v="0"/>
    <n v="65"/>
    <n v="3500"/>
    <n v="2500"/>
    <n v="227500"/>
    <n v="65000"/>
  </r>
  <r>
    <s v="09-05-2020"/>
    <x v="3"/>
    <x v="3"/>
    <x v="4"/>
    <n v="141"/>
    <n v="1200"/>
    <n v="800"/>
    <n v="169200"/>
    <n v="56400"/>
  </r>
  <r>
    <s v="02-11-2021"/>
    <x v="5"/>
    <x v="2"/>
    <x v="3"/>
    <n v="134"/>
    <n v="600"/>
    <n v="400"/>
    <n v="80400"/>
    <n v="26800"/>
  </r>
  <r>
    <s v="04-12-2021"/>
    <x v="6"/>
    <x v="0"/>
    <x v="3"/>
    <n v="147"/>
    <n v="600"/>
    <n v="400"/>
    <n v="88200"/>
    <n v="29400"/>
  </r>
  <r>
    <s v="17-04-2020"/>
    <x v="2"/>
    <x v="3"/>
    <x v="5"/>
    <n v="76"/>
    <n v="1000"/>
    <n v="700"/>
    <n v="76000"/>
    <n v="22800"/>
  </r>
  <r>
    <s v="22-11-2020"/>
    <x v="3"/>
    <x v="3"/>
    <x v="6"/>
    <n v="93"/>
    <n v="10000"/>
    <n v="7000"/>
    <n v="930000"/>
    <n v="279000"/>
  </r>
  <r>
    <s v="10-07-2020"/>
    <x v="0"/>
    <x v="3"/>
    <x v="1"/>
    <n v="111"/>
    <n v="4000"/>
    <n v="3000"/>
    <n v="444000"/>
    <n v="111000"/>
  </r>
  <r>
    <s v="15-04-2020"/>
    <x v="2"/>
    <x v="3"/>
    <x v="1"/>
    <n v="82"/>
    <n v="4000"/>
    <n v="3000"/>
    <n v="328000"/>
    <n v="82000"/>
  </r>
  <r>
    <s v="29-11-2020"/>
    <x v="3"/>
    <x v="3"/>
    <x v="0"/>
    <n v="77"/>
    <n v="3500"/>
    <n v="2500"/>
    <n v="269500"/>
    <n v="77000"/>
  </r>
  <r>
    <s v="17-12-2021"/>
    <x v="9"/>
    <x v="3"/>
    <x v="4"/>
    <n v="140"/>
    <n v="1200"/>
    <n v="800"/>
    <n v="168000"/>
    <n v="56000"/>
  </r>
  <r>
    <s v="28-06-2021"/>
    <x v="1"/>
    <x v="0"/>
    <x v="6"/>
    <n v="147"/>
    <n v="10000"/>
    <n v="7000"/>
    <n v="1470000"/>
    <n v="441000"/>
  </r>
  <r>
    <s v="07-07-2021"/>
    <x v="2"/>
    <x v="2"/>
    <x v="2"/>
    <n v="91"/>
    <n v="6000"/>
    <n v="4000"/>
    <n v="546000"/>
    <n v="182000"/>
  </r>
  <r>
    <s v="21-09-2020"/>
    <x v="9"/>
    <x v="1"/>
    <x v="0"/>
    <n v="83"/>
    <n v="3500"/>
    <n v="2500"/>
    <n v="290500"/>
    <n v="83000"/>
  </r>
  <r>
    <s v="10-09-2020"/>
    <x v="8"/>
    <x v="1"/>
    <x v="3"/>
    <n v="96"/>
    <n v="600"/>
    <n v="400"/>
    <n v="57600"/>
    <n v="19200"/>
  </r>
  <r>
    <s v="28-04-2021"/>
    <x v="6"/>
    <x v="2"/>
    <x v="1"/>
    <n v="70"/>
    <n v="4000"/>
    <n v="3000"/>
    <n v="280000"/>
    <n v="70000"/>
  </r>
  <r>
    <s v="30-07-2020"/>
    <x v="8"/>
    <x v="0"/>
    <x v="6"/>
    <n v="56"/>
    <n v="10000"/>
    <n v="7000"/>
    <n v="560000"/>
    <n v="168000"/>
  </r>
  <r>
    <s v="08-11-2021"/>
    <x v="5"/>
    <x v="0"/>
    <x v="6"/>
    <n v="67"/>
    <n v="10000"/>
    <n v="7000"/>
    <n v="670000"/>
    <n v="201000"/>
  </r>
  <r>
    <s v="16-01-2021"/>
    <x v="9"/>
    <x v="1"/>
    <x v="5"/>
    <n v="80"/>
    <n v="1000"/>
    <n v="700"/>
    <n v="80000"/>
    <n v="24000"/>
  </r>
  <r>
    <s v="02-12-2021"/>
    <x v="4"/>
    <x v="1"/>
    <x v="3"/>
    <n v="136"/>
    <n v="600"/>
    <n v="400"/>
    <n v="81600"/>
    <n v="27200"/>
  </r>
  <r>
    <s v="04-05-2020"/>
    <x v="1"/>
    <x v="3"/>
    <x v="5"/>
    <n v="130"/>
    <n v="1000"/>
    <n v="700"/>
    <n v="130000"/>
    <n v="39000"/>
  </r>
  <r>
    <s v="16-04-2020"/>
    <x v="9"/>
    <x v="2"/>
    <x v="3"/>
    <n v="124"/>
    <n v="600"/>
    <n v="400"/>
    <n v="74400"/>
    <n v="24800"/>
  </r>
  <r>
    <s v="28-04-2021"/>
    <x v="4"/>
    <x v="0"/>
    <x v="5"/>
    <n v="97"/>
    <n v="1000"/>
    <n v="700"/>
    <n v="97000"/>
    <n v="29100"/>
  </r>
  <r>
    <s v="30-09-2021"/>
    <x v="2"/>
    <x v="3"/>
    <x v="1"/>
    <n v="144"/>
    <n v="4000"/>
    <n v="3000"/>
    <n v="576000"/>
    <n v="144000"/>
  </r>
  <r>
    <s v="15-06-2021"/>
    <x v="4"/>
    <x v="2"/>
    <x v="6"/>
    <n v="60"/>
    <n v="10000"/>
    <n v="7000"/>
    <n v="600000"/>
    <n v="180000"/>
  </r>
  <r>
    <s v="31-07-2020"/>
    <x v="2"/>
    <x v="3"/>
    <x v="3"/>
    <n v="86"/>
    <n v="600"/>
    <n v="400"/>
    <n v="51600"/>
    <n v="17200"/>
  </r>
  <r>
    <s v="22-03-2021"/>
    <x v="7"/>
    <x v="2"/>
    <x v="3"/>
    <n v="110"/>
    <n v="600"/>
    <n v="400"/>
    <n v="66000"/>
    <n v="22000"/>
  </r>
  <r>
    <s v="20-12-2021"/>
    <x v="6"/>
    <x v="1"/>
    <x v="4"/>
    <n v="103"/>
    <n v="1200"/>
    <n v="800"/>
    <n v="123600"/>
    <n v="41200"/>
  </r>
  <r>
    <s v="23-03-2021"/>
    <x v="7"/>
    <x v="2"/>
    <x v="1"/>
    <n v="79"/>
    <n v="4000"/>
    <n v="3000"/>
    <n v="316000"/>
    <n v="79000"/>
  </r>
  <r>
    <s v="16-12-2021"/>
    <x v="1"/>
    <x v="2"/>
    <x v="5"/>
    <n v="136"/>
    <n v="1000"/>
    <n v="700"/>
    <n v="136000"/>
    <n v="40800"/>
  </r>
  <r>
    <s v="12-07-2021"/>
    <x v="5"/>
    <x v="3"/>
    <x v="2"/>
    <n v="141"/>
    <n v="6000"/>
    <n v="4000"/>
    <n v="846000"/>
    <n v="282000"/>
  </r>
  <r>
    <s v="04-07-2020"/>
    <x v="4"/>
    <x v="2"/>
    <x v="2"/>
    <n v="123"/>
    <n v="6000"/>
    <n v="4000"/>
    <n v="738000"/>
    <n v="246000"/>
  </r>
  <r>
    <s v="02-02-2020"/>
    <x v="3"/>
    <x v="3"/>
    <x v="1"/>
    <n v="114"/>
    <n v="4000"/>
    <n v="3000"/>
    <n v="456000"/>
    <n v="114000"/>
  </r>
  <r>
    <s v="30-07-2021"/>
    <x v="5"/>
    <x v="0"/>
    <x v="1"/>
    <n v="62"/>
    <n v="4000"/>
    <n v="3000"/>
    <n v="248000"/>
    <n v="62000"/>
  </r>
  <r>
    <s v="12-09-2021"/>
    <x v="4"/>
    <x v="1"/>
    <x v="4"/>
    <n v="112"/>
    <n v="1200"/>
    <n v="800"/>
    <n v="134400"/>
    <n v="44800"/>
  </r>
  <r>
    <s v="08-05-2020"/>
    <x v="4"/>
    <x v="2"/>
    <x v="3"/>
    <n v="104"/>
    <n v="600"/>
    <n v="400"/>
    <n v="62400"/>
    <n v="20800"/>
  </r>
  <r>
    <s v="29-05-2020"/>
    <x v="6"/>
    <x v="2"/>
    <x v="0"/>
    <n v="52"/>
    <n v="3500"/>
    <n v="2500"/>
    <n v="182000"/>
    <n v="52000"/>
  </r>
  <r>
    <s v="21-10-2021"/>
    <x v="4"/>
    <x v="2"/>
    <x v="6"/>
    <n v="144"/>
    <n v="10000"/>
    <n v="7000"/>
    <n v="1440000"/>
    <n v="432000"/>
  </r>
  <r>
    <s v="19-09-2020"/>
    <x v="5"/>
    <x v="0"/>
    <x v="6"/>
    <n v="109"/>
    <n v="10000"/>
    <n v="7000"/>
    <n v="1090000"/>
    <n v="327000"/>
  </r>
  <r>
    <s v="20-01-2020"/>
    <x v="2"/>
    <x v="0"/>
    <x v="4"/>
    <n v="118"/>
    <n v="1200"/>
    <n v="800"/>
    <n v="141600"/>
    <n v="47200"/>
  </r>
  <r>
    <s v="07-11-2021"/>
    <x v="1"/>
    <x v="3"/>
    <x v="4"/>
    <n v="102"/>
    <n v="1200"/>
    <n v="800"/>
    <n v="122400"/>
    <n v="40800"/>
  </r>
  <r>
    <s v="27-05-2021"/>
    <x v="6"/>
    <x v="0"/>
    <x v="6"/>
    <n v="86"/>
    <n v="10000"/>
    <n v="7000"/>
    <n v="860000"/>
    <n v="258000"/>
  </r>
  <r>
    <s v="04-12-2021"/>
    <x v="3"/>
    <x v="2"/>
    <x v="4"/>
    <n v="118"/>
    <n v="1200"/>
    <n v="800"/>
    <n v="141600"/>
    <n v="47200"/>
  </r>
  <r>
    <s v="24-01-2021"/>
    <x v="9"/>
    <x v="2"/>
    <x v="2"/>
    <n v="145"/>
    <n v="6000"/>
    <n v="4000"/>
    <n v="870000"/>
    <n v="290000"/>
  </r>
  <r>
    <s v="21-11-2021"/>
    <x v="6"/>
    <x v="2"/>
    <x v="5"/>
    <n v="80"/>
    <n v="1000"/>
    <n v="700"/>
    <n v="80000"/>
    <n v="24000"/>
  </r>
  <r>
    <s v="08-06-2020"/>
    <x v="8"/>
    <x v="0"/>
    <x v="0"/>
    <n v="65"/>
    <n v="3500"/>
    <n v="2500"/>
    <n v="227500"/>
    <n v="65000"/>
  </r>
  <r>
    <s v="17-04-2020"/>
    <x v="3"/>
    <x v="1"/>
    <x v="2"/>
    <n v="94"/>
    <n v="6000"/>
    <n v="4000"/>
    <n v="564000"/>
    <n v="188000"/>
  </r>
  <r>
    <s v="08-06-2021"/>
    <x v="2"/>
    <x v="1"/>
    <x v="5"/>
    <n v="89"/>
    <n v="1000"/>
    <n v="700"/>
    <n v="89000"/>
    <n v="26700"/>
  </r>
  <r>
    <s v="31-12-2021"/>
    <x v="2"/>
    <x v="2"/>
    <x v="0"/>
    <n v="122"/>
    <n v="3500"/>
    <n v="2500"/>
    <n v="427000"/>
    <n v="122000"/>
  </r>
  <r>
    <s v="29-09-2021"/>
    <x v="5"/>
    <x v="2"/>
    <x v="0"/>
    <n v="73"/>
    <n v="3500"/>
    <n v="2500"/>
    <n v="255500"/>
    <n v="73000"/>
  </r>
  <r>
    <s v="14-02-2021"/>
    <x v="6"/>
    <x v="1"/>
    <x v="5"/>
    <n v="54"/>
    <n v="1000"/>
    <n v="700"/>
    <n v="54000"/>
    <n v="16200"/>
  </r>
  <r>
    <s v="25-09-2021"/>
    <x v="8"/>
    <x v="3"/>
    <x v="0"/>
    <n v="150"/>
    <n v="3500"/>
    <n v="2500"/>
    <n v="525000"/>
    <n v="150000"/>
  </r>
  <r>
    <s v="02-12-2021"/>
    <x v="3"/>
    <x v="3"/>
    <x v="5"/>
    <n v="90"/>
    <n v="1000"/>
    <n v="700"/>
    <n v="90000"/>
    <n v="27000"/>
  </r>
  <r>
    <s v="02-12-2020"/>
    <x v="4"/>
    <x v="1"/>
    <x v="3"/>
    <n v="141"/>
    <n v="600"/>
    <n v="400"/>
    <n v="84600"/>
    <n v="28200"/>
  </r>
  <r>
    <s v="23-03-2021"/>
    <x v="9"/>
    <x v="3"/>
    <x v="2"/>
    <n v="80"/>
    <n v="6000"/>
    <n v="4000"/>
    <n v="480000"/>
    <n v="160000"/>
  </r>
  <r>
    <s v="21-05-2021"/>
    <x v="7"/>
    <x v="3"/>
    <x v="4"/>
    <n v="105"/>
    <n v="1200"/>
    <n v="800"/>
    <n v="126000"/>
    <n v="42000"/>
  </r>
  <r>
    <s v="12-12-2021"/>
    <x v="2"/>
    <x v="0"/>
    <x v="6"/>
    <n v="53"/>
    <n v="10000"/>
    <n v="7000"/>
    <n v="530000"/>
    <n v="159000"/>
  </r>
  <r>
    <s v="19-03-2020"/>
    <x v="3"/>
    <x v="2"/>
    <x v="3"/>
    <n v="114"/>
    <n v="600"/>
    <n v="400"/>
    <n v="68400"/>
    <n v="22800"/>
  </r>
  <r>
    <s v="11-06-2020"/>
    <x v="8"/>
    <x v="1"/>
    <x v="1"/>
    <n v="138"/>
    <n v="4000"/>
    <n v="3000"/>
    <n v="552000"/>
    <n v="138000"/>
  </r>
  <r>
    <s v="04-01-2021"/>
    <x v="6"/>
    <x v="0"/>
    <x v="6"/>
    <n v="52"/>
    <n v="10000"/>
    <n v="7000"/>
    <n v="520000"/>
    <n v="156000"/>
  </r>
  <r>
    <s v="10-02-2020"/>
    <x v="7"/>
    <x v="1"/>
    <x v="1"/>
    <n v="80"/>
    <n v="4000"/>
    <n v="3000"/>
    <n v="320000"/>
    <n v="80000"/>
  </r>
  <r>
    <s v="17-01-2020"/>
    <x v="1"/>
    <x v="0"/>
    <x v="6"/>
    <n v="64"/>
    <n v="10000"/>
    <n v="7000"/>
    <n v="640000"/>
    <n v="192000"/>
  </r>
  <r>
    <s v="16-09-2021"/>
    <x v="1"/>
    <x v="3"/>
    <x v="4"/>
    <n v="96"/>
    <n v="1200"/>
    <n v="800"/>
    <n v="115200"/>
    <n v="38400"/>
  </r>
  <r>
    <s v="24-05-2020"/>
    <x v="3"/>
    <x v="0"/>
    <x v="4"/>
    <n v="142"/>
    <n v="1200"/>
    <n v="800"/>
    <n v="170400"/>
    <n v="56800"/>
  </r>
  <r>
    <s v="29-12-2021"/>
    <x v="2"/>
    <x v="3"/>
    <x v="4"/>
    <n v="75"/>
    <n v="1200"/>
    <n v="800"/>
    <n v="90000"/>
    <n v="30000"/>
  </r>
  <r>
    <s v="24-03-2020"/>
    <x v="6"/>
    <x v="1"/>
    <x v="4"/>
    <n v="82"/>
    <n v="1200"/>
    <n v="800"/>
    <n v="98400"/>
    <n v="32800"/>
  </r>
  <r>
    <s v="13-12-2021"/>
    <x v="2"/>
    <x v="2"/>
    <x v="3"/>
    <n v="86"/>
    <n v="600"/>
    <n v="400"/>
    <n v="51600"/>
    <n v="17200"/>
  </r>
  <r>
    <s v="25-02-2020"/>
    <x v="0"/>
    <x v="0"/>
    <x v="3"/>
    <n v="51"/>
    <n v="600"/>
    <n v="400"/>
    <n v="30600"/>
    <n v="10200"/>
  </r>
  <r>
    <s v="12-05-2020"/>
    <x v="6"/>
    <x v="2"/>
    <x v="4"/>
    <n v="124"/>
    <n v="1200"/>
    <n v="800"/>
    <n v="148800"/>
    <n v="49600"/>
  </r>
  <r>
    <s v="23-02-2020"/>
    <x v="4"/>
    <x v="2"/>
    <x v="4"/>
    <n v="133"/>
    <n v="1200"/>
    <n v="800"/>
    <n v="159600"/>
    <n v="53200"/>
  </r>
  <r>
    <s v="23-04-2020"/>
    <x v="5"/>
    <x v="0"/>
    <x v="1"/>
    <n v="52"/>
    <n v="4000"/>
    <n v="3000"/>
    <n v="208000"/>
    <n v="52000"/>
  </r>
  <r>
    <s v="05-03-2021"/>
    <x v="9"/>
    <x v="3"/>
    <x v="1"/>
    <n v="103"/>
    <n v="4000"/>
    <n v="3000"/>
    <n v="412000"/>
    <n v="103000"/>
  </r>
  <r>
    <s v="18-12-2020"/>
    <x v="6"/>
    <x v="0"/>
    <x v="6"/>
    <n v="129"/>
    <n v="10000"/>
    <n v="7000"/>
    <n v="1290000"/>
    <n v="387000"/>
  </r>
  <r>
    <s v="27-11-2020"/>
    <x v="8"/>
    <x v="0"/>
    <x v="0"/>
    <n v="54"/>
    <n v="3500"/>
    <n v="2500"/>
    <n v="189000"/>
    <n v="54000"/>
  </r>
  <r>
    <s v="14-12-2021"/>
    <x v="3"/>
    <x v="1"/>
    <x v="5"/>
    <n v="133"/>
    <n v="1000"/>
    <n v="700"/>
    <n v="133000"/>
    <n v="39900"/>
  </r>
  <r>
    <s v="27-03-2021"/>
    <x v="0"/>
    <x v="2"/>
    <x v="5"/>
    <n v="107"/>
    <n v="1000"/>
    <n v="700"/>
    <n v="107000"/>
    <n v="32100"/>
  </r>
  <r>
    <s v="19-07-2021"/>
    <x v="8"/>
    <x v="3"/>
    <x v="3"/>
    <n v="97"/>
    <n v="600"/>
    <n v="400"/>
    <n v="58200"/>
    <n v="19400"/>
  </r>
  <r>
    <s v="09-01-2021"/>
    <x v="6"/>
    <x v="1"/>
    <x v="0"/>
    <n v="53"/>
    <n v="3500"/>
    <n v="2500"/>
    <n v="185500"/>
    <n v="53000"/>
  </r>
  <r>
    <s v="16-10-2020"/>
    <x v="8"/>
    <x v="3"/>
    <x v="6"/>
    <n v="65"/>
    <n v="10000"/>
    <n v="7000"/>
    <n v="650000"/>
    <n v="195000"/>
  </r>
  <r>
    <s v="07-10-2021"/>
    <x v="7"/>
    <x v="3"/>
    <x v="6"/>
    <n v="97"/>
    <n v="10000"/>
    <n v="7000"/>
    <n v="970000"/>
    <n v="291000"/>
  </r>
  <r>
    <s v="07-12-2021"/>
    <x v="2"/>
    <x v="2"/>
    <x v="6"/>
    <n v="80"/>
    <n v="10000"/>
    <n v="7000"/>
    <n v="800000"/>
    <n v="240000"/>
  </r>
  <r>
    <s v="11-07-2020"/>
    <x v="1"/>
    <x v="2"/>
    <x v="1"/>
    <n v="77"/>
    <n v="4000"/>
    <n v="3000"/>
    <n v="308000"/>
    <n v="77000"/>
  </r>
  <r>
    <s v="03-10-2020"/>
    <x v="0"/>
    <x v="3"/>
    <x v="1"/>
    <n v="72"/>
    <n v="4000"/>
    <n v="3000"/>
    <n v="288000"/>
    <n v="72000"/>
  </r>
  <r>
    <s v="27-06-2020"/>
    <x v="6"/>
    <x v="1"/>
    <x v="2"/>
    <n v="113"/>
    <n v="6000"/>
    <n v="4000"/>
    <n v="678000"/>
    <n v="226000"/>
  </r>
  <r>
    <s v="05-06-2020"/>
    <x v="4"/>
    <x v="3"/>
    <x v="5"/>
    <n v="140"/>
    <n v="1000"/>
    <n v="700"/>
    <n v="140000"/>
    <n v="42000"/>
  </r>
  <r>
    <s v="25-09-2021"/>
    <x v="8"/>
    <x v="2"/>
    <x v="6"/>
    <n v="97"/>
    <n v="10000"/>
    <n v="7000"/>
    <n v="970000"/>
    <n v="291000"/>
  </r>
  <r>
    <s v="17-11-2020"/>
    <x v="8"/>
    <x v="1"/>
    <x v="0"/>
    <n v="132"/>
    <n v="3500"/>
    <n v="2500"/>
    <n v="462000"/>
    <n v="132000"/>
  </r>
  <r>
    <s v="15-01-2021"/>
    <x v="7"/>
    <x v="3"/>
    <x v="5"/>
    <n v="116"/>
    <n v="1000"/>
    <n v="700"/>
    <n v="116000"/>
    <n v="34800"/>
  </r>
  <r>
    <s v="01-01-2020"/>
    <x v="9"/>
    <x v="0"/>
    <x v="4"/>
    <n v="93"/>
    <n v="1200"/>
    <n v="800"/>
    <n v="111600"/>
    <n v="37200"/>
  </r>
  <r>
    <s v="23-09-2020"/>
    <x v="4"/>
    <x v="1"/>
    <x v="0"/>
    <n v="57"/>
    <n v="3500"/>
    <n v="2500"/>
    <n v="199500"/>
    <n v="57000"/>
  </r>
  <r>
    <s v="25-02-2020"/>
    <x v="9"/>
    <x v="0"/>
    <x v="0"/>
    <n v="130"/>
    <n v="3500"/>
    <n v="2500"/>
    <n v="455000"/>
    <n v="130000"/>
  </r>
  <r>
    <s v="17-04-2021"/>
    <x v="3"/>
    <x v="0"/>
    <x v="6"/>
    <n v="68"/>
    <n v="10000"/>
    <n v="7000"/>
    <n v="680000"/>
    <n v="204000"/>
  </r>
  <r>
    <s v="24-12-2021"/>
    <x v="4"/>
    <x v="1"/>
    <x v="6"/>
    <n v="77"/>
    <n v="10000"/>
    <n v="7000"/>
    <n v="770000"/>
    <n v="231000"/>
  </r>
  <r>
    <s v="14-09-2021"/>
    <x v="1"/>
    <x v="3"/>
    <x v="3"/>
    <n v="59"/>
    <n v="600"/>
    <n v="400"/>
    <n v="35400"/>
    <n v="11800"/>
  </r>
  <r>
    <s v="19-12-2020"/>
    <x v="7"/>
    <x v="3"/>
    <x v="6"/>
    <n v="129"/>
    <n v="10000"/>
    <n v="7000"/>
    <n v="1290000"/>
    <n v="387000"/>
  </r>
  <r>
    <s v="26-02-2021"/>
    <x v="2"/>
    <x v="3"/>
    <x v="1"/>
    <n v="74"/>
    <n v="4000"/>
    <n v="3000"/>
    <n v="296000"/>
    <n v="74000"/>
  </r>
  <r>
    <s v="30-04-2021"/>
    <x v="7"/>
    <x v="0"/>
    <x v="5"/>
    <n v="125"/>
    <n v="1000"/>
    <n v="700"/>
    <n v="125000"/>
    <n v="37500"/>
  </r>
  <r>
    <s v="24-07-2020"/>
    <x v="1"/>
    <x v="2"/>
    <x v="4"/>
    <n v="127"/>
    <n v="1200"/>
    <n v="800"/>
    <n v="152400"/>
    <n v="50800"/>
  </r>
  <r>
    <s v="11-03-2020"/>
    <x v="2"/>
    <x v="2"/>
    <x v="5"/>
    <n v="108"/>
    <n v="1000"/>
    <n v="700"/>
    <n v="108000"/>
    <n v="32400"/>
  </r>
  <r>
    <s v="03-05-2021"/>
    <x v="9"/>
    <x v="3"/>
    <x v="0"/>
    <n v="112"/>
    <n v="3500"/>
    <n v="2500"/>
    <n v="392000"/>
    <n v="112000"/>
  </r>
  <r>
    <s v="18-12-2020"/>
    <x v="1"/>
    <x v="3"/>
    <x v="3"/>
    <n v="115"/>
    <n v="600"/>
    <n v="400"/>
    <n v="69000"/>
    <n v="23000"/>
  </r>
  <r>
    <s v="19-02-2020"/>
    <x v="6"/>
    <x v="1"/>
    <x v="2"/>
    <n v="135"/>
    <n v="6000"/>
    <n v="4000"/>
    <n v="810000"/>
    <n v="270000"/>
  </r>
  <r>
    <s v="30-01-2020"/>
    <x v="0"/>
    <x v="2"/>
    <x v="5"/>
    <n v="148"/>
    <n v="1000"/>
    <n v="700"/>
    <n v="148000"/>
    <n v="44400"/>
  </r>
  <r>
    <s v="12-02-2020"/>
    <x v="2"/>
    <x v="2"/>
    <x v="2"/>
    <n v="135"/>
    <n v="6000"/>
    <n v="4000"/>
    <n v="810000"/>
    <n v="270000"/>
  </r>
  <r>
    <s v="19-09-2020"/>
    <x v="9"/>
    <x v="0"/>
    <x v="1"/>
    <n v="105"/>
    <n v="4000"/>
    <n v="3000"/>
    <n v="420000"/>
    <n v="105000"/>
  </r>
  <r>
    <s v="29-12-2020"/>
    <x v="5"/>
    <x v="3"/>
    <x v="4"/>
    <n v="143"/>
    <n v="1200"/>
    <n v="800"/>
    <n v="171600"/>
    <n v="57200"/>
  </r>
  <r>
    <s v="26-08-2020"/>
    <x v="8"/>
    <x v="0"/>
    <x v="6"/>
    <n v="109"/>
    <n v="10000"/>
    <n v="7000"/>
    <n v="1090000"/>
    <n v="327000"/>
  </r>
  <r>
    <s v="17-07-2021"/>
    <x v="2"/>
    <x v="2"/>
    <x v="1"/>
    <n v="50"/>
    <n v="4000"/>
    <n v="3000"/>
    <n v="200000"/>
    <n v="50000"/>
  </r>
  <r>
    <s v="12-11-2020"/>
    <x v="6"/>
    <x v="0"/>
    <x v="6"/>
    <n v="115"/>
    <n v="10000"/>
    <n v="7000"/>
    <n v="1150000"/>
    <n v="345000"/>
  </r>
  <r>
    <s v="02-02-2020"/>
    <x v="9"/>
    <x v="0"/>
    <x v="5"/>
    <n v="144"/>
    <n v="1000"/>
    <n v="700"/>
    <n v="144000"/>
    <n v="43200"/>
  </r>
  <r>
    <s v="02-10-2020"/>
    <x v="8"/>
    <x v="1"/>
    <x v="0"/>
    <n v="146"/>
    <n v="3500"/>
    <n v="2500"/>
    <n v="511000"/>
    <n v="146000"/>
  </r>
  <r>
    <s v="27-01-2021"/>
    <x v="4"/>
    <x v="2"/>
    <x v="5"/>
    <n v="136"/>
    <n v="1000"/>
    <n v="700"/>
    <n v="136000"/>
    <n v="40800"/>
  </r>
  <r>
    <s v="07-12-2020"/>
    <x v="0"/>
    <x v="1"/>
    <x v="0"/>
    <n v="50"/>
    <n v="3500"/>
    <n v="2500"/>
    <n v="175000"/>
    <n v="50000"/>
  </r>
  <r>
    <s v="30-06-2021"/>
    <x v="9"/>
    <x v="2"/>
    <x v="3"/>
    <n v="145"/>
    <n v="600"/>
    <n v="400"/>
    <n v="87000"/>
    <n v="29000"/>
  </r>
  <r>
    <s v="03-06-2021"/>
    <x v="1"/>
    <x v="1"/>
    <x v="2"/>
    <n v="101"/>
    <n v="6000"/>
    <n v="4000"/>
    <n v="606000"/>
    <n v="202000"/>
  </r>
  <r>
    <s v="28-10-2020"/>
    <x v="8"/>
    <x v="3"/>
    <x v="5"/>
    <n v="116"/>
    <n v="1000"/>
    <n v="700"/>
    <n v="116000"/>
    <n v="34800"/>
  </r>
  <r>
    <s v="10-04-2020"/>
    <x v="3"/>
    <x v="1"/>
    <x v="3"/>
    <n v="146"/>
    <n v="600"/>
    <n v="400"/>
    <n v="87600"/>
    <n v="29200"/>
  </r>
  <r>
    <s v="15-06-2021"/>
    <x v="0"/>
    <x v="1"/>
    <x v="3"/>
    <n v="74"/>
    <n v="600"/>
    <n v="400"/>
    <n v="44400"/>
    <n v="14800"/>
  </r>
  <r>
    <s v="11-01-2020"/>
    <x v="2"/>
    <x v="1"/>
    <x v="0"/>
    <n v="50"/>
    <n v="3500"/>
    <n v="2500"/>
    <n v="175000"/>
    <n v="50000"/>
  </r>
  <r>
    <s v="25-04-2020"/>
    <x v="6"/>
    <x v="3"/>
    <x v="0"/>
    <n v="93"/>
    <n v="3500"/>
    <n v="2500"/>
    <n v="325500"/>
    <n v="93000"/>
  </r>
  <r>
    <s v="18-10-2021"/>
    <x v="1"/>
    <x v="2"/>
    <x v="3"/>
    <n v="119"/>
    <n v="600"/>
    <n v="400"/>
    <n v="71400"/>
    <n v="23800"/>
  </r>
  <r>
    <s v="08-07-2021"/>
    <x v="4"/>
    <x v="0"/>
    <x v="5"/>
    <n v="78"/>
    <n v="1000"/>
    <n v="700"/>
    <n v="78000"/>
    <n v="23400"/>
  </r>
  <r>
    <s v="08-04-2020"/>
    <x v="1"/>
    <x v="1"/>
    <x v="4"/>
    <n v="73"/>
    <n v="1200"/>
    <n v="800"/>
    <n v="87600"/>
    <n v="29200"/>
  </r>
  <r>
    <s v="16-10-2020"/>
    <x v="3"/>
    <x v="3"/>
    <x v="0"/>
    <n v="51"/>
    <n v="3500"/>
    <n v="2500"/>
    <n v="178500"/>
    <n v="51000"/>
  </r>
  <r>
    <s v="25-08-2021"/>
    <x v="2"/>
    <x v="0"/>
    <x v="6"/>
    <n v="69"/>
    <n v="10000"/>
    <n v="7000"/>
    <n v="690000"/>
    <n v="207000"/>
  </r>
  <r>
    <s v="10-02-2020"/>
    <x v="9"/>
    <x v="0"/>
    <x v="6"/>
    <n v="116"/>
    <n v="10000"/>
    <n v="7000"/>
    <n v="1160000"/>
    <n v="348000"/>
  </r>
  <r>
    <s v="29-12-2021"/>
    <x v="7"/>
    <x v="3"/>
    <x v="4"/>
    <n v="101"/>
    <n v="1200"/>
    <n v="800"/>
    <n v="121200"/>
    <n v="40400"/>
  </r>
  <r>
    <s v="26-04-2021"/>
    <x v="4"/>
    <x v="1"/>
    <x v="2"/>
    <n v="110"/>
    <n v="6000"/>
    <n v="4000"/>
    <n v="660000"/>
    <n v="220000"/>
  </r>
  <r>
    <s v="03-03-2020"/>
    <x v="3"/>
    <x v="1"/>
    <x v="3"/>
    <n v="99"/>
    <n v="600"/>
    <n v="400"/>
    <n v="59400"/>
    <n v="19800"/>
  </r>
  <r>
    <s v="03-09-2021"/>
    <x v="3"/>
    <x v="3"/>
    <x v="1"/>
    <n v="99"/>
    <n v="4000"/>
    <n v="3000"/>
    <n v="396000"/>
    <n v="99000"/>
  </r>
  <r>
    <s v="14-11-2021"/>
    <x v="2"/>
    <x v="2"/>
    <x v="1"/>
    <n v="127"/>
    <n v="4000"/>
    <n v="3000"/>
    <n v="508000"/>
    <n v="127000"/>
  </r>
  <r>
    <s v="16-04-2020"/>
    <x v="6"/>
    <x v="1"/>
    <x v="0"/>
    <n v="120"/>
    <n v="3500"/>
    <n v="2500"/>
    <n v="420000"/>
    <n v="120000"/>
  </r>
  <r>
    <s v="27-07-2020"/>
    <x v="0"/>
    <x v="3"/>
    <x v="6"/>
    <n v="118"/>
    <n v="10000"/>
    <n v="7000"/>
    <n v="1180000"/>
    <n v="354000"/>
  </r>
  <r>
    <s v="14-09-2021"/>
    <x v="0"/>
    <x v="3"/>
    <x v="6"/>
    <n v="137"/>
    <n v="10000"/>
    <n v="7000"/>
    <n v="1370000"/>
    <n v="411000"/>
  </r>
  <r>
    <s v="04-10-2021"/>
    <x v="9"/>
    <x v="3"/>
    <x v="4"/>
    <n v="110"/>
    <n v="1200"/>
    <n v="800"/>
    <n v="132000"/>
    <n v="44000"/>
  </r>
  <r>
    <s v="02-04-2021"/>
    <x v="0"/>
    <x v="1"/>
    <x v="1"/>
    <n v="64"/>
    <n v="4000"/>
    <n v="3000"/>
    <n v="256000"/>
    <n v="64000"/>
  </r>
  <r>
    <s v="17-01-2021"/>
    <x v="4"/>
    <x v="0"/>
    <x v="2"/>
    <n v="142"/>
    <n v="6000"/>
    <n v="4000"/>
    <n v="852000"/>
    <n v="284000"/>
  </r>
  <r>
    <s v="27-08-2020"/>
    <x v="3"/>
    <x v="0"/>
    <x v="6"/>
    <n v="132"/>
    <n v="10000"/>
    <n v="7000"/>
    <n v="1320000"/>
    <n v="396000"/>
  </r>
  <r>
    <s v="26-09-2021"/>
    <x v="1"/>
    <x v="3"/>
    <x v="0"/>
    <n v="134"/>
    <n v="3500"/>
    <n v="2500"/>
    <n v="469000"/>
    <n v="134000"/>
  </r>
  <r>
    <s v="01-01-2021"/>
    <x v="1"/>
    <x v="3"/>
    <x v="2"/>
    <n v="66"/>
    <n v="6000"/>
    <n v="4000"/>
    <n v="396000"/>
    <n v="132000"/>
  </r>
  <r>
    <s v="02-05-2021"/>
    <x v="6"/>
    <x v="3"/>
    <x v="1"/>
    <n v="120"/>
    <n v="4000"/>
    <n v="3000"/>
    <n v="480000"/>
    <n v="120000"/>
  </r>
  <r>
    <s v="27-02-2020"/>
    <x v="8"/>
    <x v="1"/>
    <x v="6"/>
    <n v="150"/>
    <n v="10000"/>
    <n v="7000"/>
    <n v="1500000"/>
    <n v="450000"/>
  </r>
  <r>
    <s v="07-10-2020"/>
    <x v="2"/>
    <x v="0"/>
    <x v="2"/>
    <n v="100"/>
    <n v="6000"/>
    <n v="4000"/>
    <n v="600000"/>
    <n v="200000"/>
  </r>
  <r>
    <s v="10-06-2021"/>
    <x v="5"/>
    <x v="2"/>
    <x v="3"/>
    <n v="119"/>
    <n v="600"/>
    <n v="400"/>
    <n v="71400"/>
    <n v="23800"/>
  </r>
  <r>
    <s v="12-06-2020"/>
    <x v="3"/>
    <x v="1"/>
    <x v="5"/>
    <n v="109"/>
    <n v="1000"/>
    <n v="700"/>
    <n v="109000"/>
    <n v="32700"/>
  </r>
  <r>
    <s v="29-07-2020"/>
    <x v="1"/>
    <x v="2"/>
    <x v="5"/>
    <n v="115"/>
    <n v="1000"/>
    <n v="700"/>
    <n v="115000"/>
    <n v="34500"/>
  </r>
  <r>
    <s v="23-01-2020"/>
    <x v="3"/>
    <x v="2"/>
    <x v="3"/>
    <n v="66"/>
    <n v="600"/>
    <n v="400"/>
    <n v="39600"/>
    <n v="13200"/>
  </r>
  <r>
    <s v="08-11-2020"/>
    <x v="5"/>
    <x v="0"/>
    <x v="0"/>
    <n v="112"/>
    <n v="3500"/>
    <n v="2500"/>
    <n v="392000"/>
    <n v="112000"/>
  </r>
  <r>
    <s v="11-04-2020"/>
    <x v="3"/>
    <x v="1"/>
    <x v="3"/>
    <n v="142"/>
    <n v="600"/>
    <n v="400"/>
    <n v="85200"/>
    <n v="28400"/>
  </r>
  <r>
    <s v="20-01-2021"/>
    <x v="9"/>
    <x v="3"/>
    <x v="3"/>
    <n v="99"/>
    <n v="600"/>
    <n v="400"/>
    <n v="59400"/>
    <n v="19800"/>
  </r>
  <r>
    <s v="06-10-2021"/>
    <x v="5"/>
    <x v="3"/>
    <x v="2"/>
    <n v="144"/>
    <n v="6000"/>
    <n v="4000"/>
    <n v="864000"/>
    <n v="288000"/>
  </r>
  <r>
    <s v="08-07-2020"/>
    <x v="0"/>
    <x v="2"/>
    <x v="6"/>
    <n v="81"/>
    <n v="10000"/>
    <n v="7000"/>
    <n v="810000"/>
    <n v="243000"/>
  </r>
  <r>
    <s v="21-10-2021"/>
    <x v="0"/>
    <x v="0"/>
    <x v="6"/>
    <n v="146"/>
    <n v="10000"/>
    <n v="7000"/>
    <n v="1460000"/>
    <n v="438000"/>
  </r>
  <r>
    <s v="22-06-2020"/>
    <x v="2"/>
    <x v="1"/>
    <x v="4"/>
    <n v="95"/>
    <n v="1200"/>
    <n v="800"/>
    <n v="114000"/>
    <n v="38000"/>
  </r>
  <r>
    <s v="10-09-2020"/>
    <x v="6"/>
    <x v="1"/>
    <x v="0"/>
    <n v="81"/>
    <n v="3500"/>
    <n v="2500"/>
    <n v="283500"/>
    <n v="81000"/>
  </r>
  <r>
    <s v="28-12-2020"/>
    <x v="9"/>
    <x v="2"/>
    <x v="4"/>
    <n v="150"/>
    <n v="1200"/>
    <n v="800"/>
    <n v="180000"/>
    <n v="60000"/>
  </r>
  <r>
    <s v="23-01-2020"/>
    <x v="1"/>
    <x v="2"/>
    <x v="3"/>
    <n v="120"/>
    <n v="600"/>
    <n v="400"/>
    <n v="72000"/>
    <n v="24000"/>
  </r>
  <r>
    <s v="02-12-2021"/>
    <x v="5"/>
    <x v="1"/>
    <x v="1"/>
    <n v="126"/>
    <n v="4000"/>
    <n v="3000"/>
    <n v="504000"/>
    <n v="126000"/>
  </r>
  <r>
    <s v="12-05-2020"/>
    <x v="0"/>
    <x v="0"/>
    <x v="4"/>
    <n v="84"/>
    <n v="1200"/>
    <n v="800"/>
    <n v="100800"/>
    <n v="33600"/>
  </r>
  <r>
    <s v="24-07-2021"/>
    <x v="1"/>
    <x v="2"/>
    <x v="2"/>
    <n v="120"/>
    <n v="6000"/>
    <n v="4000"/>
    <n v="720000"/>
    <n v="240000"/>
  </r>
  <r>
    <s v="25-11-2021"/>
    <x v="7"/>
    <x v="3"/>
    <x v="2"/>
    <n v="60"/>
    <n v="6000"/>
    <n v="4000"/>
    <n v="360000"/>
    <n v="120000"/>
  </r>
  <r>
    <s v="06-06-2020"/>
    <x v="9"/>
    <x v="1"/>
    <x v="2"/>
    <n v="93"/>
    <n v="6000"/>
    <n v="4000"/>
    <n v="558000"/>
    <n v="186000"/>
  </r>
  <r>
    <s v="30-12-2021"/>
    <x v="2"/>
    <x v="2"/>
    <x v="6"/>
    <n v="138"/>
    <n v="10000"/>
    <n v="7000"/>
    <n v="1380000"/>
    <n v="414000"/>
  </r>
  <r>
    <s v="18-04-2021"/>
    <x v="0"/>
    <x v="3"/>
    <x v="6"/>
    <n v="145"/>
    <n v="10000"/>
    <n v="7000"/>
    <n v="1450000"/>
    <n v="435000"/>
  </r>
  <r>
    <s v="05-06-2020"/>
    <x v="1"/>
    <x v="1"/>
    <x v="1"/>
    <n v="138"/>
    <n v="4000"/>
    <n v="3000"/>
    <n v="552000"/>
    <n v="138000"/>
  </r>
  <r>
    <s v="14-03-2020"/>
    <x v="4"/>
    <x v="3"/>
    <x v="5"/>
    <n v="145"/>
    <n v="1000"/>
    <n v="700"/>
    <n v="145000"/>
    <n v="43500"/>
  </r>
  <r>
    <s v="25-04-2021"/>
    <x v="7"/>
    <x v="0"/>
    <x v="3"/>
    <n v="65"/>
    <n v="600"/>
    <n v="400"/>
    <n v="39000"/>
    <n v="13000"/>
  </r>
  <r>
    <s v="03-01-2020"/>
    <x v="2"/>
    <x v="1"/>
    <x v="1"/>
    <n v="65"/>
    <n v="4000"/>
    <n v="3000"/>
    <n v="260000"/>
    <n v="65000"/>
  </r>
  <r>
    <s v="02-12-2021"/>
    <x v="9"/>
    <x v="1"/>
    <x v="5"/>
    <n v="90"/>
    <n v="1000"/>
    <n v="700"/>
    <n v="90000"/>
    <n v="27000"/>
  </r>
  <r>
    <s v="17-06-2021"/>
    <x v="3"/>
    <x v="1"/>
    <x v="4"/>
    <n v="68"/>
    <n v="1200"/>
    <n v="800"/>
    <n v="81600"/>
    <n v="27200"/>
  </r>
  <r>
    <s v="01-08-2021"/>
    <x v="4"/>
    <x v="2"/>
    <x v="0"/>
    <n v="137"/>
    <n v="3500"/>
    <n v="2500"/>
    <n v="479500"/>
    <n v="137000"/>
  </r>
  <r>
    <s v="18-07-2020"/>
    <x v="4"/>
    <x v="1"/>
    <x v="0"/>
    <n v="88"/>
    <n v="3500"/>
    <n v="2500"/>
    <n v="308000"/>
    <n v="88000"/>
  </r>
  <r>
    <s v="04-03-2021"/>
    <x v="6"/>
    <x v="3"/>
    <x v="2"/>
    <n v="70"/>
    <n v="6000"/>
    <n v="4000"/>
    <n v="420000"/>
    <n v="140000"/>
  </r>
  <r>
    <s v="22-05-2021"/>
    <x v="1"/>
    <x v="1"/>
    <x v="6"/>
    <n v="98"/>
    <n v="10000"/>
    <n v="7000"/>
    <n v="980000"/>
    <n v="294000"/>
  </r>
  <r>
    <s v="05-07-2020"/>
    <x v="3"/>
    <x v="3"/>
    <x v="3"/>
    <n v="61"/>
    <n v="600"/>
    <n v="400"/>
    <n v="36600"/>
    <n v="12200"/>
  </r>
  <r>
    <s v="04-07-2020"/>
    <x v="0"/>
    <x v="0"/>
    <x v="0"/>
    <n v="81"/>
    <n v="3500"/>
    <n v="2500"/>
    <n v="283500"/>
    <n v="81000"/>
  </r>
  <r>
    <s v="28-08-2021"/>
    <x v="7"/>
    <x v="1"/>
    <x v="0"/>
    <n v="82"/>
    <n v="3500"/>
    <n v="2500"/>
    <n v="287000"/>
    <n v="82000"/>
  </r>
  <r>
    <s v="02-01-2020"/>
    <x v="9"/>
    <x v="2"/>
    <x v="4"/>
    <n v="99"/>
    <n v="1200"/>
    <n v="800"/>
    <n v="118800"/>
    <n v="39600"/>
  </r>
  <r>
    <s v="08-09-2021"/>
    <x v="5"/>
    <x v="1"/>
    <x v="4"/>
    <n v="71"/>
    <n v="1200"/>
    <n v="800"/>
    <n v="85200"/>
    <n v="28400"/>
  </r>
  <r>
    <s v="29-02-2020"/>
    <x v="9"/>
    <x v="0"/>
    <x v="1"/>
    <n v="148"/>
    <n v="4000"/>
    <n v="3000"/>
    <n v="592000"/>
    <n v="148000"/>
  </r>
  <r>
    <s v="24-03-2020"/>
    <x v="5"/>
    <x v="0"/>
    <x v="5"/>
    <n v="101"/>
    <n v="1000"/>
    <n v="700"/>
    <n v="101000"/>
    <n v="30300"/>
  </r>
  <r>
    <s v="02-07-2020"/>
    <x v="9"/>
    <x v="2"/>
    <x v="2"/>
    <n v="141"/>
    <n v="6000"/>
    <n v="4000"/>
    <n v="846000"/>
    <n v="282000"/>
  </r>
  <r>
    <s v="16-06-2020"/>
    <x v="4"/>
    <x v="1"/>
    <x v="4"/>
    <n v="67"/>
    <n v="1200"/>
    <n v="800"/>
    <n v="80400"/>
    <n v="26800"/>
  </r>
  <r>
    <s v="04-07-2021"/>
    <x v="7"/>
    <x v="3"/>
    <x v="1"/>
    <n v="88"/>
    <n v="4000"/>
    <n v="3000"/>
    <n v="352000"/>
    <n v="88000"/>
  </r>
  <r>
    <s v="11-06-2020"/>
    <x v="4"/>
    <x v="0"/>
    <x v="1"/>
    <n v="65"/>
    <n v="4000"/>
    <n v="3000"/>
    <n v="260000"/>
    <n v="65000"/>
  </r>
  <r>
    <s v="15-12-2021"/>
    <x v="8"/>
    <x v="3"/>
    <x v="5"/>
    <n v="72"/>
    <n v="1000"/>
    <n v="700"/>
    <n v="72000"/>
    <n v="21600"/>
  </r>
  <r>
    <s v="18-01-2020"/>
    <x v="7"/>
    <x v="1"/>
    <x v="1"/>
    <n v="114"/>
    <n v="4000"/>
    <n v="3000"/>
    <n v="456000"/>
    <n v="114000"/>
  </r>
  <r>
    <s v="10-01-2020"/>
    <x v="0"/>
    <x v="1"/>
    <x v="5"/>
    <n v="68"/>
    <n v="1000"/>
    <n v="700"/>
    <n v="68000"/>
    <n v="20400"/>
  </r>
  <r>
    <s v="21-07-2020"/>
    <x v="3"/>
    <x v="2"/>
    <x v="5"/>
    <n v="65"/>
    <n v="1000"/>
    <n v="700"/>
    <n v="65000"/>
    <n v="19500"/>
  </r>
  <r>
    <s v="29-06-2021"/>
    <x v="1"/>
    <x v="1"/>
    <x v="0"/>
    <n v="80"/>
    <n v="3500"/>
    <n v="2500"/>
    <n v="280000"/>
    <n v="80000"/>
  </r>
  <r>
    <s v="20-04-2020"/>
    <x v="4"/>
    <x v="1"/>
    <x v="6"/>
    <n v="99"/>
    <n v="10000"/>
    <n v="7000"/>
    <n v="990000"/>
    <n v="297000"/>
  </r>
  <r>
    <s v="07-10-2021"/>
    <x v="0"/>
    <x v="3"/>
    <x v="0"/>
    <n v="86"/>
    <n v="3500"/>
    <n v="2500"/>
    <n v="301000"/>
    <n v="86000"/>
  </r>
  <r>
    <s v="18-04-2020"/>
    <x v="8"/>
    <x v="0"/>
    <x v="4"/>
    <n v="112"/>
    <n v="1200"/>
    <n v="800"/>
    <n v="134400"/>
    <n v="44800"/>
  </r>
  <r>
    <s v="19-01-2021"/>
    <x v="9"/>
    <x v="2"/>
    <x v="6"/>
    <n v="78"/>
    <n v="10000"/>
    <n v="7000"/>
    <n v="780000"/>
    <n v="234000"/>
  </r>
  <r>
    <s v="11-02-2020"/>
    <x v="9"/>
    <x v="0"/>
    <x v="4"/>
    <n v="73"/>
    <n v="1200"/>
    <n v="800"/>
    <n v="87600"/>
    <n v="29200"/>
  </r>
  <r>
    <s v="26-06-2021"/>
    <x v="1"/>
    <x v="1"/>
    <x v="5"/>
    <n v="136"/>
    <n v="1000"/>
    <n v="700"/>
    <n v="136000"/>
    <n v="40800"/>
  </r>
  <r>
    <s v="16-08-2021"/>
    <x v="1"/>
    <x v="0"/>
    <x v="1"/>
    <n v="129"/>
    <n v="4000"/>
    <n v="3000"/>
    <n v="516000"/>
    <n v="129000"/>
  </r>
  <r>
    <s v="24-01-2020"/>
    <x v="8"/>
    <x v="0"/>
    <x v="6"/>
    <n v="95"/>
    <n v="10000"/>
    <n v="7000"/>
    <n v="950000"/>
    <n v="285000"/>
  </r>
  <r>
    <s v="04-03-2021"/>
    <x v="1"/>
    <x v="1"/>
    <x v="5"/>
    <n v="113"/>
    <n v="1000"/>
    <n v="700"/>
    <n v="113000"/>
    <n v="33900"/>
  </r>
  <r>
    <s v="02-09-2021"/>
    <x v="6"/>
    <x v="3"/>
    <x v="3"/>
    <n v="131"/>
    <n v="600"/>
    <n v="400"/>
    <n v="78600"/>
    <n v="26200"/>
  </r>
  <r>
    <s v="16-07-2021"/>
    <x v="8"/>
    <x v="0"/>
    <x v="5"/>
    <n v="52"/>
    <n v="1000"/>
    <n v="700"/>
    <n v="52000"/>
    <n v="15600"/>
  </r>
  <r>
    <s v="13-12-2020"/>
    <x v="7"/>
    <x v="2"/>
    <x v="4"/>
    <n v="107"/>
    <n v="1200"/>
    <n v="800"/>
    <n v="128400"/>
    <n v="42800"/>
  </r>
  <r>
    <s v="29-08-2021"/>
    <x v="2"/>
    <x v="2"/>
    <x v="2"/>
    <n v="73"/>
    <n v="6000"/>
    <n v="4000"/>
    <n v="438000"/>
    <n v="146000"/>
  </r>
  <r>
    <s v="27-01-2020"/>
    <x v="7"/>
    <x v="2"/>
    <x v="5"/>
    <n v="80"/>
    <n v="1000"/>
    <n v="700"/>
    <n v="80000"/>
    <n v="24000"/>
  </r>
  <r>
    <s v="05-10-2021"/>
    <x v="9"/>
    <x v="0"/>
    <x v="6"/>
    <n v="105"/>
    <n v="10000"/>
    <n v="7000"/>
    <n v="1050000"/>
    <n v="315000"/>
  </r>
  <r>
    <s v="25-08-2021"/>
    <x v="5"/>
    <x v="1"/>
    <x v="1"/>
    <n v="57"/>
    <n v="4000"/>
    <n v="3000"/>
    <n v="228000"/>
    <n v="57000"/>
  </r>
  <r>
    <s v="07-02-2021"/>
    <x v="5"/>
    <x v="1"/>
    <x v="0"/>
    <n v="81"/>
    <n v="3500"/>
    <n v="2500"/>
    <n v="283500"/>
    <n v="81000"/>
  </r>
  <r>
    <s v="06-03-2021"/>
    <x v="8"/>
    <x v="1"/>
    <x v="3"/>
    <n v="133"/>
    <n v="600"/>
    <n v="400"/>
    <n v="79800"/>
    <n v="26600"/>
  </r>
  <r>
    <s v="13-04-2020"/>
    <x v="8"/>
    <x v="2"/>
    <x v="1"/>
    <n v="123"/>
    <n v="4000"/>
    <n v="3000"/>
    <n v="492000"/>
    <n v="123000"/>
  </r>
  <r>
    <s v="11-12-2021"/>
    <x v="4"/>
    <x v="2"/>
    <x v="0"/>
    <n v="137"/>
    <n v="3500"/>
    <n v="2500"/>
    <n v="479500"/>
    <n v="137000"/>
  </r>
  <r>
    <s v="08-09-2020"/>
    <x v="5"/>
    <x v="0"/>
    <x v="1"/>
    <n v="66"/>
    <n v="4000"/>
    <n v="3000"/>
    <n v="264000"/>
    <n v="66000"/>
  </r>
  <r>
    <s v="29-08-2021"/>
    <x v="6"/>
    <x v="0"/>
    <x v="5"/>
    <n v="102"/>
    <n v="1000"/>
    <n v="700"/>
    <n v="102000"/>
    <n v="30600"/>
  </r>
  <r>
    <s v="28-04-2021"/>
    <x v="5"/>
    <x v="1"/>
    <x v="0"/>
    <n v="60"/>
    <n v="3500"/>
    <n v="2500"/>
    <n v="210000"/>
    <n v="60000"/>
  </r>
  <r>
    <s v="04-02-2020"/>
    <x v="4"/>
    <x v="3"/>
    <x v="4"/>
    <n v="100"/>
    <n v="1200"/>
    <n v="800"/>
    <n v="120000"/>
    <n v="40000"/>
  </r>
  <r>
    <s v="30-03-2020"/>
    <x v="8"/>
    <x v="0"/>
    <x v="6"/>
    <n v="143"/>
    <n v="10000"/>
    <n v="7000"/>
    <n v="1430000"/>
    <n v="429000"/>
  </r>
  <r>
    <s v="28-01-2021"/>
    <x v="9"/>
    <x v="0"/>
    <x v="2"/>
    <n v="51"/>
    <n v="6000"/>
    <n v="4000"/>
    <n v="306000"/>
    <n v="102000"/>
  </r>
  <r>
    <s v="08-01-2020"/>
    <x v="9"/>
    <x v="3"/>
    <x v="4"/>
    <n v="94"/>
    <n v="1200"/>
    <n v="800"/>
    <n v="112800"/>
    <n v="37600"/>
  </r>
  <r>
    <s v="24-08-2021"/>
    <x v="1"/>
    <x v="1"/>
    <x v="6"/>
    <n v="69"/>
    <n v="10000"/>
    <n v="7000"/>
    <n v="690000"/>
    <n v="207000"/>
  </r>
  <r>
    <s v="12-12-2020"/>
    <x v="5"/>
    <x v="2"/>
    <x v="1"/>
    <n v="136"/>
    <n v="4000"/>
    <n v="3000"/>
    <n v="544000"/>
    <n v="136000"/>
  </r>
  <r>
    <s v="23-07-2021"/>
    <x v="0"/>
    <x v="2"/>
    <x v="2"/>
    <n v="115"/>
    <n v="6000"/>
    <n v="4000"/>
    <n v="690000"/>
    <n v="230000"/>
  </r>
  <r>
    <s v="08-12-2021"/>
    <x v="7"/>
    <x v="1"/>
    <x v="6"/>
    <n v="66"/>
    <n v="10000"/>
    <n v="7000"/>
    <n v="660000"/>
    <n v="198000"/>
  </r>
  <r>
    <s v="30-03-2021"/>
    <x v="6"/>
    <x v="0"/>
    <x v="6"/>
    <n v="94"/>
    <n v="10000"/>
    <n v="7000"/>
    <n v="940000"/>
    <n v="282000"/>
  </r>
  <r>
    <s v="22-08-2021"/>
    <x v="2"/>
    <x v="2"/>
    <x v="1"/>
    <n v="130"/>
    <n v="4000"/>
    <n v="3000"/>
    <n v="520000"/>
    <n v="130000"/>
  </r>
  <r>
    <s v="20-12-2020"/>
    <x v="3"/>
    <x v="1"/>
    <x v="5"/>
    <n v="119"/>
    <n v="1000"/>
    <n v="700"/>
    <n v="119000"/>
    <n v="35700"/>
  </r>
  <r>
    <s v="02-07-2020"/>
    <x v="2"/>
    <x v="3"/>
    <x v="4"/>
    <n v="118"/>
    <n v="1200"/>
    <n v="800"/>
    <n v="141600"/>
    <n v="47200"/>
  </r>
  <r>
    <s v="10-02-2021"/>
    <x v="1"/>
    <x v="1"/>
    <x v="1"/>
    <n v="53"/>
    <n v="4000"/>
    <n v="3000"/>
    <n v="212000"/>
    <n v="53000"/>
  </r>
  <r>
    <s v="29-07-2021"/>
    <x v="5"/>
    <x v="3"/>
    <x v="5"/>
    <n v="114"/>
    <n v="1000"/>
    <n v="700"/>
    <n v="114000"/>
    <n v="34200"/>
  </r>
  <r>
    <s v="14-07-2020"/>
    <x v="1"/>
    <x v="0"/>
    <x v="3"/>
    <n v="119"/>
    <n v="600"/>
    <n v="400"/>
    <n v="71400"/>
    <n v="23800"/>
  </r>
  <r>
    <s v="03-01-2021"/>
    <x v="2"/>
    <x v="2"/>
    <x v="6"/>
    <n v="108"/>
    <n v="10000"/>
    <n v="7000"/>
    <n v="1080000"/>
    <n v="324000"/>
  </r>
  <r>
    <s v="21-02-2020"/>
    <x v="7"/>
    <x v="0"/>
    <x v="4"/>
    <n v="65"/>
    <n v="1200"/>
    <n v="800"/>
    <n v="78000"/>
    <n v="26000"/>
  </r>
  <r>
    <s v="23-06-2020"/>
    <x v="4"/>
    <x v="0"/>
    <x v="6"/>
    <n v="113"/>
    <n v="10000"/>
    <n v="7000"/>
    <n v="1130000"/>
    <n v="339000"/>
  </r>
  <r>
    <s v="15-10-2021"/>
    <x v="6"/>
    <x v="3"/>
    <x v="3"/>
    <n v="135"/>
    <n v="600"/>
    <n v="400"/>
    <n v="81000"/>
    <n v="27000"/>
  </r>
  <r>
    <s v="10-03-2021"/>
    <x v="7"/>
    <x v="3"/>
    <x v="0"/>
    <n v="70"/>
    <n v="3500"/>
    <n v="2500"/>
    <n v="245000"/>
    <n v="70000"/>
  </r>
  <r>
    <s v="29-11-2020"/>
    <x v="5"/>
    <x v="1"/>
    <x v="0"/>
    <n v="98"/>
    <n v="3500"/>
    <n v="2500"/>
    <n v="343000"/>
    <n v="98000"/>
  </r>
  <r>
    <s v="10-04-2020"/>
    <x v="9"/>
    <x v="2"/>
    <x v="6"/>
    <n v="61"/>
    <n v="10000"/>
    <n v="7000"/>
    <n v="610000"/>
    <n v="183000"/>
  </r>
  <r>
    <s v="24-07-2021"/>
    <x v="2"/>
    <x v="2"/>
    <x v="2"/>
    <n v="118"/>
    <n v="6000"/>
    <n v="4000"/>
    <n v="708000"/>
    <n v="236000"/>
  </r>
  <r>
    <s v="13-02-2020"/>
    <x v="2"/>
    <x v="1"/>
    <x v="5"/>
    <n v="68"/>
    <n v="1000"/>
    <n v="700"/>
    <n v="68000"/>
    <n v="20400"/>
  </r>
  <r>
    <s v="23-04-2021"/>
    <x v="6"/>
    <x v="2"/>
    <x v="4"/>
    <n v="133"/>
    <n v="1200"/>
    <n v="800"/>
    <n v="159600"/>
    <n v="53200"/>
  </r>
  <r>
    <s v="18-02-2020"/>
    <x v="1"/>
    <x v="3"/>
    <x v="6"/>
    <n v="81"/>
    <n v="10000"/>
    <n v="7000"/>
    <n v="810000"/>
    <n v="243000"/>
  </r>
  <r>
    <s v="14-05-2021"/>
    <x v="6"/>
    <x v="0"/>
    <x v="4"/>
    <n v="77"/>
    <n v="1200"/>
    <n v="800"/>
    <n v="92400"/>
    <n v="30800"/>
  </r>
  <r>
    <s v="18-08-2021"/>
    <x v="7"/>
    <x v="3"/>
    <x v="2"/>
    <n v="118"/>
    <n v="6000"/>
    <n v="4000"/>
    <n v="708000"/>
    <n v="236000"/>
  </r>
  <r>
    <s v="08-01-2020"/>
    <x v="5"/>
    <x v="1"/>
    <x v="4"/>
    <n v="147"/>
    <n v="1200"/>
    <n v="800"/>
    <n v="176400"/>
    <n v="58800"/>
  </r>
  <r>
    <s v="15-07-2021"/>
    <x v="6"/>
    <x v="1"/>
    <x v="6"/>
    <n v="107"/>
    <n v="10000"/>
    <n v="7000"/>
    <n v="1070000"/>
    <n v="321000"/>
  </r>
  <r>
    <s v="21-04-2021"/>
    <x v="8"/>
    <x v="3"/>
    <x v="2"/>
    <n v="50"/>
    <n v="6000"/>
    <n v="4000"/>
    <n v="300000"/>
    <n v="100000"/>
  </r>
  <r>
    <s v="20-12-2020"/>
    <x v="6"/>
    <x v="1"/>
    <x v="6"/>
    <n v="134"/>
    <n v="10000"/>
    <n v="7000"/>
    <n v="1340000"/>
    <n v="402000"/>
  </r>
  <r>
    <s v="09-04-2021"/>
    <x v="8"/>
    <x v="2"/>
    <x v="0"/>
    <n v="58"/>
    <n v="3500"/>
    <n v="2500"/>
    <n v="203000"/>
    <n v="58000"/>
  </r>
  <r>
    <s v="18-11-2020"/>
    <x v="3"/>
    <x v="3"/>
    <x v="4"/>
    <n v="121"/>
    <n v="1200"/>
    <n v="800"/>
    <n v="145200"/>
    <n v="48400"/>
  </r>
  <r>
    <s v="31-05-2021"/>
    <x v="9"/>
    <x v="3"/>
    <x v="2"/>
    <n v="60"/>
    <n v="6000"/>
    <n v="4000"/>
    <n v="360000"/>
    <n v="120000"/>
  </r>
  <r>
    <s v="27-09-2021"/>
    <x v="9"/>
    <x v="0"/>
    <x v="2"/>
    <n v="83"/>
    <n v="6000"/>
    <n v="4000"/>
    <n v="498000"/>
    <n v="166000"/>
  </r>
  <r>
    <s v="15-06-2021"/>
    <x v="0"/>
    <x v="0"/>
    <x v="5"/>
    <n v="127"/>
    <n v="1000"/>
    <n v="700"/>
    <n v="127000"/>
    <n v="38100"/>
  </r>
  <r>
    <s v="23-01-2020"/>
    <x v="5"/>
    <x v="3"/>
    <x v="6"/>
    <n v="142"/>
    <n v="10000"/>
    <n v="7000"/>
    <n v="1420000"/>
    <n v="426000"/>
  </r>
  <r>
    <s v="11-03-2021"/>
    <x v="5"/>
    <x v="0"/>
    <x v="6"/>
    <n v="98"/>
    <n v="10000"/>
    <n v="7000"/>
    <n v="980000"/>
    <n v="294000"/>
  </r>
  <r>
    <s v="24-07-2020"/>
    <x v="4"/>
    <x v="0"/>
    <x v="6"/>
    <n v="94"/>
    <n v="10000"/>
    <n v="7000"/>
    <n v="940000"/>
    <n v="282000"/>
  </r>
  <r>
    <s v="09-03-2021"/>
    <x v="9"/>
    <x v="1"/>
    <x v="3"/>
    <n v="147"/>
    <n v="600"/>
    <n v="400"/>
    <n v="88200"/>
    <n v="29400"/>
  </r>
  <r>
    <s v="06-06-2020"/>
    <x v="4"/>
    <x v="0"/>
    <x v="2"/>
    <n v="58"/>
    <n v="6000"/>
    <n v="4000"/>
    <n v="348000"/>
    <n v="116000"/>
  </r>
  <r>
    <s v="28-09-2020"/>
    <x v="6"/>
    <x v="3"/>
    <x v="6"/>
    <n v="58"/>
    <n v="10000"/>
    <n v="7000"/>
    <n v="580000"/>
    <n v="174000"/>
  </r>
  <r>
    <s v="18-01-2021"/>
    <x v="0"/>
    <x v="0"/>
    <x v="3"/>
    <n v="99"/>
    <n v="600"/>
    <n v="400"/>
    <n v="59400"/>
    <n v="19800"/>
  </r>
  <r>
    <s v="06-12-2020"/>
    <x v="0"/>
    <x v="3"/>
    <x v="2"/>
    <n v="116"/>
    <n v="6000"/>
    <n v="4000"/>
    <n v="696000"/>
    <n v="232000"/>
  </r>
  <r>
    <s v="15-12-2020"/>
    <x v="5"/>
    <x v="2"/>
    <x v="1"/>
    <n v="107"/>
    <n v="4000"/>
    <n v="3000"/>
    <n v="428000"/>
    <n v="107000"/>
  </r>
  <r>
    <s v="14-02-2021"/>
    <x v="8"/>
    <x v="3"/>
    <x v="4"/>
    <n v="58"/>
    <n v="1200"/>
    <n v="800"/>
    <n v="69600"/>
    <n v="23200"/>
  </r>
  <r>
    <s v="02-10-2021"/>
    <x v="1"/>
    <x v="0"/>
    <x v="6"/>
    <n v="117"/>
    <n v="10000"/>
    <n v="7000"/>
    <n v="1170000"/>
    <n v="351000"/>
  </r>
  <r>
    <s v="03-04-2021"/>
    <x v="8"/>
    <x v="1"/>
    <x v="0"/>
    <n v="86"/>
    <n v="3500"/>
    <n v="2500"/>
    <n v="301000"/>
    <n v="86000"/>
  </r>
  <r>
    <s v="30-04-2021"/>
    <x v="4"/>
    <x v="1"/>
    <x v="2"/>
    <n v="136"/>
    <n v="6000"/>
    <n v="4000"/>
    <n v="816000"/>
    <n v="272000"/>
  </r>
  <r>
    <s v="07-10-2020"/>
    <x v="5"/>
    <x v="1"/>
    <x v="2"/>
    <n v="121"/>
    <n v="6000"/>
    <n v="4000"/>
    <n v="726000"/>
    <n v="242000"/>
  </r>
  <r>
    <s v="08-04-2021"/>
    <x v="9"/>
    <x v="1"/>
    <x v="0"/>
    <n v="116"/>
    <n v="3500"/>
    <n v="2500"/>
    <n v="406000"/>
    <n v="116000"/>
  </r>
  <r>
    <s v="21-03-2020"/>
    <x v="9"/>
    <x v="1"/>
    <x v="0"/>
    <n v="140"/>
    <n v="3500"/>
    <n v="2500"/>
    <n v="490000"/>
    <n v="140000"/>
  </r>
  <r>
    <s v="10-08-2020"/>
    <x v="1"/>
    <x v="3"/>
    <x v="1"/>
    <n v="89"/>
    <n v="4000"/>
    <n v="3000"/>
    <n v="356000"/>
    <n v="89000"/>
  </r>
  <r>
    <s v="04-08-2020"/>
    <x v="2"/>
    <x v="3"/>
    <x v="5"/>
    <n v="143"/>
    <n v="1000"/>
    <n v="700"/>
    <n v="143000"/>
    <n v="42900"/>
  </r>
  <r>
    <s v="25-06-2021"/>
    <x v="8"/>
    <x v="2"/>
    <x v="6"/>
    <n v="84"/>
    <n v="10000"/>
    <n v="7000"/>
    <n v="840000"/>
    <n v="252000"/>
  </r>
  <r>
    <s v="17-02-2021"/>
    <x v="0"/>
    <x v="1"/>
    <x v="1"/>
    <n v="95"/>
    <n v="4000"/>
    <n v="3000"/>
    <n v="380000"/>
    <n v="95000"/>
  </r>
  <r>
    <s v="04-12-2021"/>
    <x v="7"/>
    <x v="0"/>
    <x v="1"/>
    <n v="121"/>
    <n v="4000"/>
    <n v="3000"/>
    <n v="484000"/>
    <n v="121000"/>
  </r>
  <r>
    <s v="20-10-2021"/>
    <x v="1"/>
    <x v="1"/>
    <x v="4"/>
    <n v="71"/>
    <n v="1200"/>
    <n v="800"/>
    <n v="85200"/>
    <n v="28400"/>
  </r>
  <r>
    <s v="12-11-2021"/>
    <x v="9"/>
    <x v="2"/>
    <x v="0"/>
    <n v="147"/>
    <n v="3500"/>
    <n v="2500"/>
    <n v="514500"/>
    <n v="147000"/>
  </r>
  <r>
    <s v="10-12-2021"/>
    <x v="1"/>
    <x v="1"/>
    <x v="5"/>
    <n v="90"/>
    <n v="1000"/>
    <n v="700"/>
    <n v="90000"/>
    <n v="27000"/>
  </r>
  <r>
    <s v="18-10-2020"/>
    <x v="7"/>
    <x v="3"/>
    <x v="4"/>
    <n v="61"/>
    <n v="1200"/>
    <n v="800"/>
    <n v="73200"/>
    <n v="24400"/>
  </r>
  <r>
    <s v="02-03-2020"/>
    <x v="7"/>
    <x v="2"/>
    <x v="3"/>
    <n v="91"/>
    <n v="600"/>
    <n v="400"/>
    <n v="54600"/>
    <n v="18200"/>
  </r>
  <r>
    <s v="22-02-2020"/>
    <x v="0"/>
    <x v="3"/>
    <x v="3"/>
    <n v="120"/>
    <n v="600"/>
    <n v="400"/>
    <n v="72000"/>
    <n v="24000"/>
  </r>
  <r>
    <s v="08-12-2021"/>
    <x v="6"/>
    <x v="1"/>
    <x v="2"/>
    <n v="128"/>
    <n v="6000"/>
    <n v="4000"/>
    <n v="768000"/>
    <n v="256000"/>
  </r>
  <r>
    <s v="08-06-2020"/>
    <x v="4"/>
    <x v="2"/>
    <x v="6"/>
    <n v="61"/>
    <n v="10000"/>
    <n v="7000"/>
    <n v="610000"/>
    <n v="183000"/>
  </r>
  <r>
    <s v="23-02-2020"/>
    <x v="4"/>
    <x v="0"/>
    <x v="0"/>
    <n v="82"/>
    <n v="3500"/>
    <n v="2500"/>
    <n v="287000"/>
    <n v="82000"/>
  </r>
  <r>
    <s v="02-01-2020"/>
    <x v="4"/>
    <x v="2"/>
    <x v="6"/>
    <n v="82"/>
    <n v="10000"/>
    <n v="7000"/>
    <n v="820000"/>
    <n v="246000"/>
  </r>
  <r>
    <s v="01-07-2021"/>
    <x v="8"/>
    <x v="1"/>
    <x v="5"/>
    <n v="81"/>
    <n v="1000"/>
    <n v="700"/>
    <n v="81000"/>
    <n v="24300"/>
  </r>
  <r>
    <s v="27-04-2021"/>
    <x v="5"/>
    <x v="1"/>
    <x v="2"/>
    <n v="97"/>
    <n v="6000"/>
    <n v="4000"/>
    <n v="582000"/>
    <n v="194000"/>
  </r>
  <r>
    <s v="15-11-2020"/>
    <x v="7"/>
    <x v="1"/>
    <x v="3"/>
    <n v="55"/>
    <n v="600"/>
    <n v="400"/>
    <n v="33000"/>
    <n v="11000"/>
  </r>
  <r>
    <s v="31-08-2021"/>
    <x v="5"/>
    <x v="1"/>
    <x v="1"/>
    <n v="57"/>
    <n v="4000"/>
    <n v="3000"/>
    <n v="228000"/>
    <n v="57000"/>
  </r>
  <r>
    <s v="11-05-2020"/>
    <x v="2"/>
    <x v="0"/>
    <x v="6"/>
    <n v="146"/>
    <n v="10000"/>
    <n v="7000"/>
    <n v="1460000"/>
    <n v="438000"/>
  </r>
  <r>
    <s v="20-01-2020"/>
    <x v="8"/>
    <x v="2"/>
    <x v="2"/>
    <n v="124"/>
    <n v="6000"/>
    <n v="4000"/>
    <n v="744000"/>
    <n v="248000"/>
  </r>
  <r>
    <s v="25-09-2020"/>
    <x v="0"/>
    <x v="1"/>
    <x v="2"/>
    <n v="108"/>
    <n v="6000"/>
    <n v="4000"/>
    <n v="648000"/>
    <n v="216000"/>
  </r>
  <r>
    <s v="25-06-2021"/>
    <x v="5"/>
    <x v="2"/>
    <x v="0"/>
    <n v="126"/>
    <n v="3500"/>
    <n v="2500"/>
    <n v="441000"/>
    <n v="126000"/>
  </r>
  <r>
    <s v="23-02-2021"/>
    <x v="1"/>
    <x v="0"/>
    <x v="0"/>
    <n v="59"/>
    <n v="3500"/>
    <n v="2500"/>
    <n v="206500"/>
    <n v="59000"/>
  </r>
  <r>
    <s v="29-09-2021"/>
    <x v="7"/>
    <x v="3"/>
    <x v="5"/>
    <n v="98"/>
    <n v="1000"/>
    <n v="700"/>
    <n v="98000"/>
    <n v="29400"/>
  </r>
  <r>
    <s v="18-01-2020"/>
    <x v="0"/>
    <x v="1"/>
    <x v="5"/>
    <n v="120"/>
    <n v="1000"/>
    <n v="700"/>
    <n v="120000"/>
    <n v="36000"/>
  </r>
  <r>
    <s v="03-02-2020"/>
    <x v="4"/>
    <x v="1"/>
    <x v="6"/>
    <n v="98"/>
    <n v="10000"/>
    <n v="7000"/>
    <n v="980000"/>
    <n v="294000"/>
  </r>
  <r>
    <s v="06-10-2020"/>
    <x v="3"/>
    <x v="3"/>
    <x v="3"/>
    <n v="117"/>
    <n v="600"/>
    <n v="400"/>
    <n v="70200"/>
    <n v="23400"/>
  </r>
  <r>
    <s v="03-08-2020"/>
    <x v="2"/>
    <x v="3"/>
    <x v="0"/>
    <n v="118"/>
    <n v="3500"/>
    <n v="2500"/>
    <n v="413000"/>
    <n v="118000"/>
  </r>
  <r>
    <s v="17-08-2021"/>
    <x v="9"/>
    <x v="0"/>
    <x v="2"/>
    <n v="70"/>
    <n v="6000"/>
    <n v="4000"/>
    <n v="420000"/>
    <n v="140000"/>
  </r>
  <r>
    <s v="24-03-2020"/>
    <x v="1"/>
    <x v="1"/>
    <x v="1"/>
    <n v="90"/>
    <n v="4000"/>
    <n v="3000"/>
    <n v="360000"/>
    <n v="90000"/>
  </r>
  <r>
    <s v="02-06-2020"/>
    <x v="4"/>
    <x v="2"/>
    <x v="2"/>
    <n v="125"/>
    <n v="6000"/>
    <n v="4000"/>
    <n v="750000"/>
    <n v="250000"/>
  </r>
  <r>
    <s v="29-07-2020"/>
    <x v="9"/>
    <x v="0"/>
    <x v="3"/>
    <n v="59"/>
    <n v="600"/>
    <n v="400"/>
    <n v="35400"/>
    <n v="11800"/>
  </r>
  <r>
    <s v="23-10-2021"/>
    <x v="2"/>
    <x v="0"/>
    <x v="4"/>
    <n v="84"/>
    <n v="1200"/>
    <n v="800"/>
    <n v="100800"/>
    <n v="33600"/>
  </r>
  <r>
    <s v="30-05-2021"/>
    <x v="4"/>
    <x v="3"/>
    <x v="4"/>
    <n v="50"/>
    <n v="1200"/>
    <n v="800"/>
    <n v="60000"/>
    <n v="20000"/>
  </r>
  <r>
    <s v="15-08-2021"/>
    <x v="1"/>
    <x v="1"/>
    <x v="3"/>
    <n v="51"/>
    <n v="600"/>
    <n v="400"/>
    <n v="30600"/>
    <n v="10200"/>
  </r>
  <r>
    <s v="30-04-2020"/>
    <x v="9"/>
    <x v="3"/>
    <x v="3"/>
    <n v="52"/>
    <n v="600"/>
    <n v="400"/>
    <n v="31200"/>
    <n v="10400"/>
  </r>
  <r>
    <s v="20-03-2021"/>
    <x v="6"/>
    <x v="2"/>
    <x v="5"/>
    <n v="73"/>
    <n v="1000"/>
    <n v="700"/>
    <n v="73000"/>
    <n v="21900"/>
  </r>
  <r>
    <s v="22-01-2020"/>
    <x v="2"/>
    <x v="1"/>
    <x v="6"/>
    <n v="131"/>
    <n v="10000"/>
    <n v="7000"/>
    <n v="1310000"/>
    <n v="393000"/>
  </r>
  <r>
    <s v="23-12-2020"/>
    <x v="4"/>
    <x v="3"/>
    <x v="0"/>
    <n v="138"/>
    <n v="3500"/>
    <n v="2500"/>
    <n v="483000"/>
    <n v="138000"/>
  </r>
  <r>
    <s v="04-03-2021"/>
    <x v="0"/>
    <x v="1"/>
    <x v="1"/>
    <n v="60"/>
    <n v="4000"/>
    <n v="3000"/>
    <n v="240000"/>
    <n v="60000"/>
  </r>
  <r>
    <s v="03-02-2021"/>
    <x v="4"/>
    <x v="3"/>
    <x v="2"/>
    <n v="100"/>
    <n v="6000"/>
    <n v="4000"/>
    <n v="600000"/>
    <n v="200000"/>
  </r>
  <r>
    <s v="12-10-2020"/>
    <x v="4"/>
    <x v="3"/>
    <x v="6"/>
    <n v="75"/>
    <n v="10000"/>
    <n v="7000"/>
    <n v="750000"/>
    <n v="225000"/>
  </r>
  <r>
    <s v="04-06-2021"/>
    <x v="9"/>
    <x v="2"/>
    <x v="5"/>
    <n v="117"/>
    <n v="1000"/>
    <n v="700"/>
    <n v="117000"/>
    <n v="35100"/>
  </r>
  <r>
    <s v="23-10-2021"/>
    <x v="6"/>
    <x v="1"/>
    <x v="0"/>
    <n v="72"/>
    <n v="3500"/>
    <n v="2500"/>
    <n v="252000"/>
    <n v="72000"/>
  </r>
  <r>
    <s v="18-09-2021"/>
    <x v="9"/>
    <x v="3"/>
    <x v="0"/>
    <n v="69"/>
    <n v="3500"/>
    <n v="2500"/>
    <n v="241500"/>
    <n v="69000"/>
  </r>
  <r>
    <s v="09-02-2021"/>
    <x v="7"/>
    <x v="0"/>
    <x v="5"/>
    <n v="110"/>
    <n v="1000"/>
    <n v="700"/>
    <n v="110000"/>
    <n v="33000"/>
  </r>
  <r>
    <s v="09-04-2021"/>
    <x v="8"/>
    <x v="0"/>
    <x v="5"/>
    <n v="142"/>
    <n v="1000"/>
    <n v="700"/>
    <n v="142000"/>
    <n v="42600"/>
  </r>
  <r>
    <s v="29-06-2021"/>
    <x v="8"/>
    <x v="2"/>
    <x v="1"/>
    <n v="95"/>
    <n v="4000"/>
    <n v="3000"/>
    <n v="380000"/>
    <n v="95000"/>
  </r>
  <r>
    <s v="09-08-2021"/>
    <x v="3"/>
    <x v="0"/>
    <x v="2"/>
    <n v="61"/>
    <n v="6000"/>
    <n v="4000"/>
    <n v="366000"/>
    <n v="122000"/>
  </r>
  <r>
    <s v="28-10-2021"/>
    <x v="8"/>
    <x v="1"/>
    <x v="3"/>
    <n v="118"/>
    <n v="600"/>
    <n v="400"/>
    <n v="70800"/>
    <n v="23600"/>
  </r>
  <r>
    <s v="18-05-2021"/>
    <x v="9"/>
    <x v="3"/>
    <x v="1"/>
    <n v="88"/>
    <n v="4000"/>
    <n v="3000"/>
    <n v="352000"/>
    <n v="88000"/>
  </r>
  <r>
    <s v="26-06-2020"/>
    <x v="7"/>
    <x v="1"/>
    <x v="3"/>
    <n v="127"/>
    <n v="600"/>
    <n v="400"/>
    <n v="76200"/>
    <n v="25400"/>
  </r>
  <r>
    <s v="06-06-2021"/>
    <x v="0"/>
    <x v="0"/>
    <x v="4"/>
    <n v="150"/>
    <n v="1200"/>
    <n v="800"/>
    <n v="180000"/>
    <n v="60000"/>
  </r>
  <r>
    <s v="18-05-2020"/>
    <x v="3"/>
    <x v="0"/>
    <x v="2"/>
    <n v="70"/>
    <n v="6000"/>
    <n v="4000"/>
    <n v="420000"/>
    <n v="140000"/>
  </r>
  <r>
    <s v="12-11-2021"/>
    <x v="0"/>
    <x v="3"/>
    <x v="1"/>
    <n v="138"/>
    <n v="4000"/>
    <n v="3000"/>
    <n v="552000"/>
    <n v="138000"/>
  </r>
  <r>
    <s v="13-10-2020"/>
    <x v="6"/>
    <x v="3"/>
    <x v="4"/>
    <n v="62"/>
    <n v="1200"/>
    <n v="800"/>
    <n v="74400"/>
    <n v="24800"/>
  </r>
  <r>
    <s v="14-03-2020"/>
    <x v="3"/>
    <x v="2"/>
    <x v="2"/>
    <n v="118"/>
    <n v="6000"/>
    <n v="4000"/>
    <n v="708000"/>
    <n v="236000"/>
  </r>
  <r>
    <s v="16-02-2020"/>
    <x v="1"/>
    <x v="2"/>
    <x v="5"/>
    <n v="144"/>
    <n v="1000"/>
    <n v="700"/>
    <n v="144000"/>
    <n v="43200"/>
  </r>
  <r>
    <s v="08-02-2020"/>
    <x v="3"/>
    <x v="3"/>
    <x v="0"/>
    <n v="73"/>
    <n v="3500"/>
    <n v="2500"/>
    <n v="255500"/>
    <n v="73000"/>
  </r>
  <r>
    <s v="23-02-2021"/>
    <x v="4"/>
    <x v="0"/>
    <x v="0"/>
    <n v="93"/>
    <n v="3500"/>
    <n v="2500"/>
    <n v="325500"/>
    <n v="93000"/>
  </r>
  <r>
    <s v="28-10-2021"/>
    <x v="7"/>
    <x v="3"/>
    <x v="0"/>
    <n v="63"/>
    <n v="3500"/>
    <n v="2500"/>
    <n v="220500"/>
    <n v="63000"/>
  </r>
  <r>
    <s v="05-11-2021"/>
    <x v="3"/>
    <x v="0"/>
    <x v="0"/>
    <n v="83"/>
    <n v="3500"/>
    <n v="2500"/>
    <n v="290500"/>
    <n v="83000"/>
  </r>
  <r>
    <s v="22-05-2021"/>
    <x v="8"/>
    <x v="0"/>
    <x v="6"/>
    <n v="62"/>
    <n v="10000"/>
    <n v="7000"/>
    <n v="620000"/>
    <n v="186000"/>
  </r>
  <r>
    <s v="24-04-2020"/>
    <x v="3"/>
    <x v="0"/>
    <x v="1"/>
    <n v="120"/>
    <n v="4000"/>
    <n v="3000"/>
    <n v="480000"/>
    <n v="120000"/>
  </r>
  <r>
    <s v="09-04-2020"/>
    <x v="5"/>
    <x v="1"/>
    <x v="0"/>
    <n v="127"/>
    <n v="3500"/>
    <n v="2500"/>
    <n v="444500"/>
    <n v="127000"/>
  </r>
  <r>
    <s v="20-03-2021"/>
    <x v="7"/>
    <x v="3"/>
    <x v="3"/>
    <n v="116"/>
    <n v="600"/>
    <n v="400"/>
    <n v="69600"/>
    <n v="23200"/>
  </r>
  <r>
    <s v="14-10-2020"/>
    <x v="6"/>
    <x v="1"/>
    <x v="2"/>
    <n v="55"/>
    <n v="6000"/>
    <n v="4000"/>
    <n v="330000"/>
    <n v="110000"/>
  </r>
  <r>
    <s v="04-05-2021"/>
    <x v="7"/>
    <x v="2"/>
    <x v="5"/>
    <n v="135"/>
    <n v="1000"/>
    <n v="700"/>
    <n v="135000"/>
    <n v="40500"/>
  </r>
  <r>
    <s v="21-03-2020"/>
    <x v="0"/>
    <x v="3"/>
    <x v="3"/>
    <n v="114"/>
    <n v="600"/>
    <n v="400"/>
    <n v="68400"/>
    <n v="22800"/>
  </r>
  <r>
    <s v="05-07-2021"/>
    <x v="4"/>
    <x v="2"/>
    <x v="1"/>
    <n v="122"/>
    <n v="4000"/>
    <n v="3000"/>
    <n v="488000"/>
    <n v="122000"/>
  </r>
  <r>
    <s v="18-07-2020"/>
    <x v="1"/>
    <x v="2"/>
    <x v="6"/>
    <n v="131"/>
    <n v="10000"/>
    <n v="7000"/>
    <n v="1310000"/>
    <n v="393000"/>
  </r>
  <r>
    <s v="28-07-2020"/>
    <x v="7"/>
    <x v="2"/>
    <x v="1"/>
    <n v="127"/>
    <n v="4000"/>
    <n v="3000"/>
    <n v="508000"/>
    <n v="127000"/>
  </r>
  <r>
    <s v="28-09-2020"/>
    <x v="7"/>
    <x v="1"/>
    <x v="2"/>
    <n v="132"/>
    <n v="6000"/>
    <n v="4000"/>
    <n v="792000"/>
    <n v="264000"/>
  </r>
  <r>
    <s v="23-10-2020"/>
    <x v="6"/>
    <x v="1"/>
    <x v="4"/>
    <n v="100"/>
    <n v="1200"/>
    <n v="800"/>
    <n v="120000"/>
    <n v="40000"/>
  </r>
  <r>
    <s v="08-09-2020"/>
    <x v="1"/>
    <x v="3"/>
    <x v="3"/>
    <n v="97"/>
    <n v="600"/>
    <n v="400"/>
    <n v="58200"/>
    <n v="19400"/>
  </r>
  <r>
    <s v="16-10-2021"/>
    <x v="7"/>
    <x v="2"/>
    <x v="5"/>
    <n v="109"/>
    <n v="1000"/>
    <n v="700"/>
    <n v="109000"/>
    <n v="32700"/>
  </r>
  <r>
    <s v="28-03-2021"/>
    <x v="3"/>
    <x v="2"/>
    <x v="3"/>
    <n v="138"/>
    <n v="600"/>
    <n v="400"/>
    <n v="82800"/>
    <n v="27600"/>
  </r>
  <r>
    <s v="01-01-2021"/>
    <x v="1"/>
    <x v="1"/>
    <x v="5"/>
    <n v="84"/>
    <n v="1000"/>
    <n v="700"/>
    <n v="84000"/>
    <n v="25200"/>
  </r>
  <r>
    <s v="11-12-2020"/>
    <x v="2"/>
    <x v="2"/>
    <x v="1"/>
    <n v="58"/>
    <n v="4000"/>
    <n v="3000"/>
    <n v="232000"/>
    <n v="58000"/>
  </r>
  <r>
    <s v="25-04-2020"/>
    <x v="1"/>
    <x v="2"/>
    <x v="0"/>
    <n v="52"/>
    <n v="3500"/>
    <n v="2500"/>
    <n v="182000"/>
    <n v="52000"/>
  </r>
  <r>
    <s v="14-11-2020"/>
    <x v="3"/>
    <x v="2"/>
    <x v="0"/>
    <n v="57"/>
    <n v="3500"/>
    <n v="2500"/>
    <n v="199500"/>
    <n v="57000"/>
  </r>
  <r>
    <s v="06-05-2021"/>
    <x v="6"/>
    <x v="1"/>
    <x v="6"/>
    <n v="102"/>
    <n v="10000"/>
    <n v="7000"/>
    <n v="1020000"/>
    <n v="306000"/>
  </r>
  <r>
    <s v="17-02-2020"/>
    <x v="7"/>
    <x v="0"/>
    <x v="2"/>
    <n v="139"/>
    <n v="6000"/>
    <n v="4000"/>
    <n v="834000"/>
    <n v="278000"/>
  </r>
  <r>
    <s v="06-01-2020"/>
    <x v="1"/>
    <x v="1"/>
    <x v="0"/>
    <n v="120"/>
    <n v="3500"/>
    <n v="2500"/>
    <n v="420000"/>
    <n v="120000"/>
  </r>
  <r>
    <s v="22-08-2021"/>
    <x v="1"/>
    <x v="0"/>
    <x v="3"/>
    <n v="132"/>
    <n v="600"/>
    <n v="400"/>
    <n v="79200"/>
    <n v="26400"/>
  </r>
  <r>
    <s v="04-02-2021"/>
    <x v="8"/>
    <x v="3"/>
    <x v="2"/>
    <n v="56"/>
    <n v="6000"/>
    <n v="4000"/>
    <n v="336000"/>
    <n v="112000"/>
  </r>
  <r>
    <s v="27-12-2020"/>
    <x v="3"/>
    <x v="1"/>
    <x v="6"/>
    <n v="56"/>
    <n v="10000"/>
    <n v="7000"/>
    <n v="560000"/>
    <n v="168000"/>
  </r>
  <r>
    <s v="13-11-2020"/>
    <x v="8"/>
    <x v="1"/>
    <x v="1"/>
    <n v="80"/>
    <n v="4000"/>
    <n v="3000"/>
    <n v="320000"/>
    <n v="80000"/>
  </r>
  <r>
    <s v="31-07-2021"/>
    <x v="1"/>
    <x v="3"/>
    <x v="1"/>
    <n v="119"/>
    <n v="4000"/>
    <n v="3000"/>
    <n v="476000"/>
    <n v="119000"/>
  </r>
  <r>
    <s v="19-11-2021"/>
    <x v="7"/>
    <x v="2"/>
    <x v="5"/>
    <n v="87"/>
    <n v="1000"/>
    <n v="700"/>
    <n v="87000"/>
    <n v="26100"/>
  </r>
  <r>
    <s v="18-12-2021"/>
    <x v="4"/>
    <x v="0"/>
    <x v="1"/>
    <n v="71"/>
    <n v="4000"/>
    <n v="3000"/>
    <n v="284000"/>
    <n v="71000"/>
  </r>
  <r>
    <s v="09-02-2020"/>
    <x v="7"/>
    <x v="1"/>
    <x v="3"/>
    <n v="120"/>
    <n v="600"/>
    <n v="400"/>
    <n v="72000"/>
    <n v="24000"/>
  </r>
  <r>
    <s v="20-04-2020"/>
    <x v="1"/>
    <x v="3"/>
    <x v="5"/>
    <n v="112"/>
    <n v="1000"/>
    <n v="700"/>
    <n v="112000"/>
    <n v="33600"/>
  </r>
  <r>
    <s v="22-09-2021"/>
    <x v="1"/>
    <x v="2"/>
    <x v="4"/>
    <n v="145"/>
    <n v="1200"/>
    <n v="800"/>
    <n v="174000"/>
    <n v="58000"/>
  </r>
  <r>
    <s v="16-10-2020"/>
    <x v="1"/>
    <x v="2"/>
    <x v="5"/>
    <n v="93"/>
    <n v="1000"/>
    <n v="700"/>
    <n v="93000"/>
    <n v="27900"/>
  </r>
  <r>
    <s v="08-07-2020"/>
    <x v="9"/>
    <x v="1"/>
    <x v="1"/>
    <n v="58"/>
    <n v="4000"/>
    <n v="3000"/>
    <n v="232000"/>
    <n v="58000"/>
  </r>
  <r>
    <s v="04-06-2021"/>
    <x v="2"/>
    <x v="2"/>
    <x v="2"/>
    <n v="58"/>
    <n v="6000"/>
    <n v="4000"/>
    <n v="348000"/>
    <n v="116000"/>
  </r>
  <r>
    <s v="26-09-2021"/>
    <x v="8"/>
    <x v="0"/>
    <x v="5"/>
    <n v="136"/>
    <n v="1000"/>
    <n v="700"/>
    <n v="136000"/>
    <n v="40800"/>
  </r>
  <r>
    <s v="22-10-2020"/>
    <x v="2"/>
    <x v="3"/>
    <x v="4"/>
    <n v="70"/>
    <n v="1200"/>
    <n v="800"/>
    <n v="84000"/>
    <n v="28000"/>
  </r>
  <r>
    <s v="05-11-2021"/>
    <x v="1"/>
    <x v="0"/>
    <x v="3"/>
    <n v="118"/>
    <n v="600"/>
    <n v="400"/>
    <n v="70800"/>
    <n v="23600"/>
  </r>
  <r>
    <s v="21-07-2020"/>
    <x v="3"/>
    <x v="2"/>
    <x v="3"/>
    <n v="90"/>
    <n v="600"/>
    <n v="400"/>
    <n v="54000"/>
    <n v="18000"/>
  </r>
  <r>
    <s v="26-11-2021"/>
    <x v="6"/>
    <x v="3"/>
    <x v="4"/>
    <n v="132"/>
    <n v="1200"/>
    <n v="800"/>
    <n v="158400"/>
    <n v="52800"/>
  </r>
  <r>
    <s v="09-12-2020"/>
    <x v="6"/>
    <x v="1"/>
    <x v="4"/>
    <n v="147"/>
    <n v="1200"/>
    <n v="800"/>
    <n v="176400"/>
    <n v="58800"/>
  </r>
  <r>
    <s v="16-01-2021"/>
    <x v="0"/>
    <x v="3"/>
    <x v="3"/>
    <n v="121"/>
    <n v="600"/>
    <n v="400"/>
    <n v="72600"/>
    <n v="24200"/>
  </r>
  <r>
    <s v="12-01-2020"/>
    <x v="8"/>
    <x v="2"/>
    <x v="5"/>
    <n v="80"/>
    <n v="1000"/>
    <n v="700"/>
    <n v="80000"/>
    <n v="24000"/>
  </r>
  <r>
    <s v="17-12-2021"/>
    <x v="9"/>
    <x v="0"/>
    <x v="0"/>
    <n v="139"/>
    <n v="3500"/>
    <n v="2500"/>
    <n v="486500"/>
    <n v="139000"/>
  </r>
  <r>
    <s v="07-09-2020"/>
    <x v="1"/>
    <x v="3"/>
    <x v="3"/>
    <n v="102"/>
    <n v="600"/>
    <n v="400"/>
    <n v="61200"/>
    <n v="20400"/>
  </r>
  <r>
    <s v="08-09-2020"/>
    <x v="0"/>
    <x v="0"/>
    <x v="6"/>
    <n v="52"/>
    <n v="10000"/>
    <n v="7000"/>
    <n v="520000"/>
    <n v="156000"/>
  </r>
  <r>
    <s v="21-01-2020"/>
    <x v="1"/>
    <x v="3"/>
    <x v="3"/>
    <n v="64"/>
    <n v="600"/>
    <n v="400"/>
    <n v="38400"/>
    <n v="12800"/>
  </r>
  <r>
    <s v="20-04-2020"/>
    <x v="7"/>
    <x v="0"/>
    <x v="2"/>
    <n v="61"/>
    <n v="6000"/>
    <n v="4000"/>
    <n v="366000"/>
    <n v="122000"/>
  </r>
  <r>
    <s v="27-04-2020"/>
    <x v="7"/>
    <x v="0"/>
    <x v="6"/>
    <n v="113"/>
    <n v="10000"/>
    <n v="7000"/>
    <n v="1130000"/>
    <n v="339000"/>
  </r>
  <r>
    <s v="30-06-2021"/>
    <x v="8"/>
    <x v="2"/>
    <x v="6"/>
    <n v="83"/>
    <n v="10000"/>
    <n v="7000"/>
    <n v="830000"/>
    <n v="249000"/>
  </r>
  <r>
    <s v="31-12-2021"/>
    <x v="4"/>
    <x v="3"/>
    <x v="3"/>
    <n v="96"/>
    <n v="600"/>
    <n v="400"/>
    <n v="57600"/>
    <n v="19200"/>
  </r>
  <r>
    <s v="24-10-2021"/>
    <x v="5"/>
    <x v="3"/>
    <x v="5"/>
    <n v="132"/>
    <n v="1000"/>
    <n v="700"/>
    <n v="132000"/>
    <n v="39600"/>
  </r>
  <r>
    <s v="20-06-2020"/>
    <x v="7"/>
    <x v="3"/>
    <x v="1"/>
    <n v="95"/>
    <n v="4000"/>
    <n v="3000"/>
    <n v="380000"/>
    <n v="95000"/>
  </r>
  <r>
    <s v="28-12-2020"/>
    <x v="0"/>
    <x v="2"/>
    <x v="6"/>
    <n v="58"/>
    <n v="10000"/>
    <n v="7000"/>
    <n v="580000"/>
    <n v="174000"/>
  </r>
  <r>
    <s v="09-01-2021"/>
    <x v="3"/>
    <x v="3"/>
    <x v="5"/>
    <n v="141"/>
    <n v="1000"/>
    <n v="700"/>
    <n v="141000"/>
    <n v="42300"/>
  </r>
  <r>
    <s v="14-06-2020"/>
    <x v="0"/>
    <x v="0"/>
    <x v="6"/>
    <n v="70"/>
    <n v="10000"/>
    <n v="7000"/>
    <n v="700000"/>
    <n v="210000"/>
  </r>
  <r>
    <s v="08-09-2021"/>
    <x v="6"/>
    <x v="1"/>
    <x v="3"/>
    <n v="121"/>
    <n v="600"/>
    <n v="400"/>
    <n v="72600"/>
    <n v="24200"/>
  </r>
  <r>
    <s v="09-02-2021"/>
    <x v="9"/>
    <x v="2"/>
    <x v="4"/>
    <n v="60"/>
    <n v="1200"/>
    <n v="800"/>
    <n v="72000"/>
    <n v="24000"/>
  </r>
  <r>
    <s v="08-04-2020"/>
    <x v="6"/>
    <x v="1"/>
    <x v="5"/>
    <n v="124"/>
    <n v="1000"/>
    <n v="700"/>
    <n v="124000"/>
    <n v="37200"/>
  </r>
  <r>
    <s v="18-10-2020"/>
    <x v="6"/>
    <x v="1"/>
    <x v="5"/>
    <n v="53"/>
    <n v="1000"/>
    <n v="700"/>
    <n v="53000"/>
    <n v="15900"/>
  </r>
  <r>
    <s v="14-01-2021"/>
    <x v="5"/>
    <x v="0"/>
    <x v="6"/>
    <n v="125"/>
    <n v="10000"/>
    <n v="7000"/>
    <n v="1250000"/>
    <n v="375000"/>
  </r>
  <r>
    <s v="01-09-2020"/>
    <x v="7"/>
    <x v="2"/>
    <x v="4"/>
    <n v="64"/>
    <n v="1200"/>
    <n v="800"/>
    <n v="76800"/>
    <n v="25600"/>
  </r>
  <r>
    <s v="20-08-2020"/>
    <x v="4"/>
    <x v="1"/>
    <x v="1"/>
    <n v="97"/>
    <n v="4000"/>
    <n v="3000"/>
    <n v="388000"/>
    <n v="97000"/>
  </r>
  <r>
    <s v="25-02-2020"/>
    <x v="0"/>
    <x v="3"/>
    <x v="0"/>
    <n v="131"/>
    <n v="3500"/>
    <n v="2500"/>
    <n v="458500"/>
    <n v="131000"/>
  </r>
  <r>
    <s v="26-02-2021"/>
    <x v="5"/>
    <x v="2"/>
    <x v="6"/>
    <n v="59"/>
    <n v="10000"/>
    <n v="7000"/>
    <n v="590000"/>
    <n v="177000"/>
  </r>
  <r>
    <s v="24-10-2020"/>
    <x v="6"/>
    <x v="1"/>
    <x v="0"/>
    <n v="73"/>
    <n v="3500"/>
    <n v="2500"/>
    <n v="255500"/>
    <n v="73000"/>
  </r>
  <r>
    <s v="08-05-2021"/>
    <x v="6"/>
    <x v="0"/>
    <x v="5"/>
    <n v="69"/>
    <n v="1000"/>
    <n v="700"/>
    <n v="69000"/>
    <n v="20700"/>
  </r>
  <r>
    <s v="12-03-2020"/>
    <x v="9"/>
    <x v="0"/>
    <x v="0"/>
    <n v="63"/>
    <n v="3500"/>
    <n v="2500"/>
    <n v="220500"/>
    <n v="63000"/>
  </r>
  <r>
    <s v="05-07-2021"/>
    <x v="8"/>
    <x v="3"/>
    <x v="5"/>
    <n v="134"/>
    <n v="1000"/>
    <n v="700"/>
    <n v="134000"/>
    <n v="40200"/>
  </r>
  <r>
    <s v="18-01-2020"/>
    <x v="0"/>
    <x v="3"/>
    <x v="6"/>
    <n v="53"/>
    <n v="10000"/>
    <n v="7000"/>
    <n v="530000"/>
    <n v="159000"/>
  </r>
  <r>
    <s v="10-09-2021"/>
    <x v="9"/>
    <x v="3"/>
    <x v="3"/>
    <n v="88"/>
    <n v="600"/>
    <n v="400"/>
    <n v="52800"/>
    <n v="17600"/>
  </r>
  <r>
    <s v="22-10-2020"/>
    <x v="1"/>
    <x v="3"/>
    <x v="3"/>
    <n v="88"/>
    <n v="600"/>
    <n v="400"/>
    <n v="52800"/>
    <n v="17600"/>
  </r>
  <r>
    <s v="09-07-2021"/>
    <x v="9"/>
    <x v="2"/>
    <x v="3"/>
    <n v="149"/>
    <n v="600"/>
    <n v="400"/>
    <n v="89400"/>
    <n v="29800"/>
  </r>
  <r>
    <s v="30-03-2021"/>
    <x v="7"/>
    <x v="0"/>
    <x v="1"/>
    <n v="118"/>
    <n v="4000"/>
    <n v="3000"/>
    <n v="472000"/>
    <n v="118000"/>
  </r>
  <r>
    <s v="10-07-2020"/>
    <x v="8"/>
    <x v="2"/>
    <x v="4"/>
    <n v="71"/>
    <n v="1200"/>
    <n v="800"/>
    <n v="85200"/>
    <n v="28400"/>
  </r>
  <r>
    <s v="27-02-2020"/>
    <x v="1"/>
    <x v="2"/>
    <x v="0"/>
    <n v="59"/>
    <n v="3500"/>
    <n v="2500"/>
    <n v="206500"/>
    <n v="59000"/>
  </r>
  <r>
    <s v="28-10-2021"/>
    <x v="3"/>
    <x v="0"/>
    <x v="6"/>
    <n v="123"/>
    <n v="10000"/>
    <n v="7000"/>
    <n v="1230000"/>
    <n v="369000"/>
  </r>
  <r>
    <s v="09-09-2020"/>
    <x v="6"/>
    <x v="1"/>
    <x v="0"/>
    <n v="51"/>
    <n v="3500"/>
    <n v="2500"/>
    <n v="178500"/>
    <n v="51000"/>
  </r>
  <r>
    <s v="01-04-2021"/>
    <x v="6"/>
    <x v="1"/>
    <x v="5"/>
    <n v="103"/>
    <n v="1000"/>
    <n v="700"/>
    <n v="103000"/>
    <n v="30900"/>
  </r>
  <r>
    <s v="27-09-2021"/>
    <x v="5"/>
    <x v="0"/>
    <x v="3"/>
    <n v="102"/>
    <n v="600"/>
    <n v="400"/>
    <n v="61200"/>
    <n v="20400"/>
  </r>
  <r>
    <s v="06-11-2020"/>
    <x v="9"/>
    <x v="1"/>
    <x v="5"/>
    <n v="63"/>
    <n v="1000"/>
    <n v="700"/>
    <n v="63000"/>
    <n v="18900"/>
  </r>
  <r>
    <s v="24-02-2020"/>
    <x v="8"/>
    <x v="1"/>
    <x v="3"/>
    <n v="97"/>
    <n v="600"/>
    <n v="400"/>
    <n v="58200"/>
    <n v="19400"/>
  </r>
  <r>
    <s v="17-11-2021"/>
    <x v="8"/>
    <x v="1"/>
    <x v="4"/>
    <n v="84"/>
    <n v="1200"/>
    <n v="800"/>
    <n v="100800"/>
    <n v="33600"/>
  </r>
  <r>
    <s v="21-03-2020"/>
    <x v="6"/>
    <x v="1"/>
    <x v="3"/>
    <n v="56"/>
    <n v="600"/>
    <n v="400"/>
    <n v="33600"/>
    <n v="11200"/>
  </r>
  <r>
    <s v="01-02-2020"/>
    <x v="4"/>
    <x v="1"/>
    <x v="1"/>
    <n v="95"/>
    <n v="4000"/>
    <n v="3000"/>
    <n v="380000"/>
    <n v="95000"/>
  </r>
  <r>
    <s v="27-03-2021"/>
    <x v="5"/>
    <x v="0"/>
    <x v="6"/>
    <n v="54"/>
    <n v="10000"/>
    <n v="7000"/>
    <n v="540000"/>
    <n v="162000"/>
  </r>
  <r>
    <s v="16-02-2020"/>
    <x v="8"/>
    <x v="0"/>
    <x v="5"/>
    <n v="67"/>
    <n v="1000"/>
    <n v="700"/>
    <n v="67000"/>
    <n v="20100"/>
  </r>
  <r>
    <s v="23-03-2021"/>
    <x v="7"/>
    <x v="1"/>
    <x v="2"/>
    <n v="116"/>
    <n v="6000"/>
    <n v="4000"/>
    <n v="696000"/>
    <n v="232000"/>
  </r>
  <r>
    <s v="16-10-2020"/>
    <x v="4"/>
    <x v="1"/>
    <x v="2"/>
    <n v="90"/>
    <n v="6000"/>
    <n v="4000"/>
    <n v="540000"/>
    <n v="180000"/>
  </r>
  <r>
    <s v="18-04-2020"/>
    <x v="8"/>
    <x v="1"/>
    <x v="0"/>
    <n v="147"/>
    <n v="3500"/>
    <n v="2500"/>
    <n v="514500"/>
    <n v="147000"/>
  </r>
  <r>
    <s v="28-12-2021"/>
    <x v="9"/>
    <x v="2"/>
    <x v="1"/>
    <n v="115"/>
    <n v="4000"/>
    <n v="3000"/>
    <n v="460000"/>
    <n v="115000"/>
  </r>
  <r>
    <s v="30-01-2021"/>
    <x v="8"/>
    <x v="2"/>
    <x v="4"/>
    <n v="114"/>
    <n v="1200"/>
    <n v="800"/>
    <n v="136800"/>
    <n v="45600"/>
  </r>
  <r>
    <s v="10-01-2021"/>
    <x v="5"/>
    <x v="2"/>
    <x v="1"/>
    <n v="117"/>
    <n v="4000"/>
    <n v="3000"/>
    <n v="468000"/>
    <n v="117000"/>
  </r>
  <r>
    <s v="17-04-2021"/>
    <x v="2"/>
    <x v="0"/>
    <x v="4"/>
    <n v="127"/>
    <n v="1200"/>
    <n v="800"/>
    <n v="152400"/>
    <n v="50800"/>
  </r>
  <r>
    <s v="21-10-2020"/>
    <x v="2"/>
    <x v="2"/>
    <x v="2"/>
    <n v="121"/>
    <n v="6000"/>
    <n v="4000"/>
    <n v="726000"/>
    <n v="242000"/>
  </r>
  <r>
    <s v="09-03-2020"/>
    <x v="4"/>
    <x v="0"/>
    <x v="2"/>
    <n v="83"/>
    <n v="6000"/>
    <n v="4000"/>
    <n v="498000"/>
    <n v="166000"/>
  </r>
  <r>
    <s v="15-11-2020"/>
    <x v="4"/>
    <x v="3"/>
    <x v="0"/>
    <n v="84"/>
    <n v="3500"/>
    <n v="2500"/>
    <n v="294000"/>
    <n v="84000"/>
  </r>
  <r>
    <s v="01-07-2020"/>
    <x v="1"/>
    <x v="1"/>
    <x v="5"/>
    <n v="69"/>
    <n v="1000"/>
    <n v="700"/>
    <n v="69000"/>
    <n v="20700"/>
  </r>
  <r>
    <s v="02-06-2020"/>
    <x v="2"/>
    <x v="3"/>
    <x v="6"/>
    <n v="58"/>
    <n v="10000"/>
    <n v="7000"/>
    <n v="580000"/>
    <n v="174000"/>
  </r>
  <r>
    <s v="26-10-2021"/>
    <x v="9"/>
    <x v="0"/>
    <x v="6"/>
    <n v="79"/>
    <n v="10000"/>
    <n v="7000"/>
    <n v="790000"/>
    <n v="237000"/>
  </r>
  <r>
    <s v="03-02-2020"/>
    <x v="1"/>
    <x v="1"/>
    <x v="1"/>
    <n v="67"/>
    <n v="4000"/>
    <n v="3000"/>
    <n v="268000"/>
    <n v="67000"/>
  </r>
  <r>
    <s v="30-03-2020"/>
    <x v="0"/>
    <x v="3"/>
    <x v="1"/>
    <n v="75"/>
    <n v="4000"/>
    <n v="3000"/>
    <n v="300000"/>
    <n v="75000"/>
  </r>
  <r>
    <s v="11-09-2021"/>
    <x v="2"/>
    <x v="1"/>
    <x v="3"/>
    <n v="75"/>
    <n v="600"/>
    <n v="400"/>
    <n v="45000"/>
    <n v="15000"/>
  </r>
  <r>
    <s v="06-07-2021"/>
    <x v="3"/>
    <x v="0"/>
    <x v="6"/>
    <n v="149"/>
    <n v="10000"/>
    <n v="7000"/>
    <n v="1490000"/>
    <n v="447000"/>
  </r>
  <r>
    <s v="03-01-2021"/>
    <x v="9"/>
    <x v="0"/>
    <x v="2"/>
    <n v="137"/>
    <n v="6000"/>
    <n v="4000"/>
    <n v="822000"/>
    <n v="274000"/>
  </r>
  <r>
    <s v="08-08-2020"/>
    <x v="2"/>
    <x v="1"/>
    <x v="3"/>
    <n v="140"/>
    <n v="600"/>
    <n v="400"/>
    <n v="84000"/>
    <n v="28000"/>
  </r>
  <r>
    <s v="05-05-2020"/>
    <x v="5"/>
    <x v="3"/>
    <x v="5"/>
    <n v="103"/>
    <n v="1000"/>
    <n v="700"/>
    <n v="103000"/>
    <n v="30900"/>
  </r>
  <r>
    <s v="13-07-2020"/>
    <x v="1"/>
    <x v="0"/>
    <x v="5"/>
    <n v="114"/>
    <n v="1000"/>
    <n v="700"/>
    <n v="114000"/>
    <n v="34200"/>
  </r>
  <r>
    <s v="14-04-2021"/>
    <x v="0"/>
    <x v="1"/>
    <x v="4"/>
    <n v="140"/>
    <n v="1200"/>
    <n v="800"/>
    <n v="168000"/>
    <n v="56000"/>
  </r>
  <r>
    <s v="01-01-2021"/>
    <x v="2"/>
    <x v="0"/>
    <x v="3"/>
    <n v="105"/>
    <n v="600"/>
    <n v="400"/>
    <n v="63000"/>
    <n v="21000"/>
  </r>
  <r>
    <s v="05-11-2020"/>
    <x v="6"/>
    <x v="2"/>
    <x v="5"/>
    <n v="88"/>
    <n v="1000"/>
    <n v="700"/>
    <n v="88000"/>
    <n v="26400"/>
  </r>
  <r>
    <s v="08-06-2020"/>
    <x v="0"/>
    <x v="2"/>
    <x v="2"/>
    <n v="145"/>
    <n v="6000"/>
    <n v="4000"/>
    <n v="870000"/>
    <n v="290000"/>
  </r>
  <r>
    <s v="28-10-2020"/>
    <x v="6"/>
    <x v="0"/>
    <x v="4"/>
    <n v="52"/>
    <n v="1200"/>
    <n v="800"/>
    <n v="62400"/>
    <n v="20800"/>
  </r>
  <r>
    <s v="12-09-2021"/>
    <x v="8"/>
    <x v="1"/>
    <x v="3"/>
    <n v="107"/>
    <n v="600"/>
    <n v="400"/>
    <n v="64200"/>
    <n v="21400"/>
  </r>
  <r>
    <s v="18-10-2021"/>
    <x v="0"/>
    <x v="3"/>
    <x v="0"/>
    <n v="128"/>
    <n v="3500"/>
    <n v="2500"/>
    <n v="448000"/>
    <n v="128000"/>
  </r>
  <r>
    <s v="24-03-2020"/>
    <x v="5"/>
    <x v="2"/>
    <x v="4"/>
    <n v="61"/>
    <n v="1200"/>
    <n v="800"/>
    <n v="73200"/>
    <n v="24400"/>
  </r>
  <r>
    <s v="17-03-2021"/>
    <x v="1"/>
    <x v="2"/>
    <x v="1"/>
    <n v="130"/>
    <n v="4000"/>
    <n v="3000"/>
    <n v="520000"/>
    <n v="130000"/>
  </r>
  <r>
    <s v="16-03-2020"/>
    <x v="5"/>
    <x v="1"/>
    <x v="5"/>
    <n v="63"/>
    <n v="1000"/>
    <n v="700"/>
    <n v="63000"/>
    <n v="18900"/>
  </r>
  <r>
    <s v="20-09-2020"/>
    <x v="1"/>
    <x v="0"/>
    <x v="4"/>
    <n v="61"/>
    <n v="1200"/>
    <n v="800"/>
    <n v="73200"/>
    <n v="24400"/>
  </r>
  <r>
    <s v="23-11-2021"/>
    <x v="3"/>
    <x v="2"/>
    <x v="0"/>
    <n v="102"/>
    <n v="3500"/>
    <n v="2500"/>
    <n v="357000"/>
    <n v="102000"/>
  </r>
  <r>
    <s v="26-07-2020"/>
    <x v="2"/>
    <x v="3"/>
    <x v="2"/>
    <n v="91"/>
    <n v="6000"/>
    <n v="4000"/>
    <n v="546000"/>
    <n v="182000"/>
  </r>
  <r>
    <s v="31-12-2021"/>
    <x v="5"/>
    <x v="1"/>
    <x v="2"/>
    <n v="99"/>
    <n v="6000"/>
    <n v="4000"/>
    <n v="594000"/>
    <n v="198000"/>
  </r>
  <r>
    <s v="16-02-2020"/>
    <x v="0"/>
    <x v="0"/>
    <x v="3"/>
    <n v="139"/>
    <n v="600"/>
    <n v="400"/>
    <n v="83400"/>
    <n v="27800"/>
  </r>
  <r>
    <s v="20-02-2021"/>
    <x v="8"/>
    <x v="3"/>
    <x v="0"/>
    <n v="140"/>
    <n v="3500"/>
    <n v="2500"/>
    <n v="490000"/>
    <n v="140000"/>
  </r>
  <r>
    <s v="28-08-2021"/>
    <x v="0"/>
    <x v="0"/>
    <x v="6"/>
    <n v="94"/>
    <n v="10000"/>
    <n v="7000"/>
    <n v="940000"/>
    <n v="282000"/>
  </r>
  <r>
    <s v="31-10-2021"/>
    <x v="6"/>
    <x v="0"/>
    <x v="4"/>
    <n v="79"/>
    <n v="1200"/>
    <n v="800"/>
    <n v="94800"/>
    <n v="31600"/>
  </r>
  <r>
    <s v="24-02-2020"/>
    <x v="7"/>
    <x v="2"/>
    <x v="5"/>
    <n v="61"/>
    <n v="1000"/>
    <n v="700"/>
    <n v="61000"/>
    <n v="18300"/>
  </r>
  <r>
    <s v="13-11-2021"/>
    <x v="2"/>
    <x v="0"/>
    <x v="1"/>
    <n v="81"/>
    <n v="4000"/>
    <n v="3000"/>
    <n v="324000"/>
    <n v="81000"/>
  </r>
  <r>
    <s v="17-09-2021"/>
    <x v="9"/>
    <x v="1"/>
    <x v="6"/>
    <n v="55"/>
    <n v="10000"/>
    <n v="7000"/>
    <n v="550000"/>
    <n v="165000"/>
  </r>
  <r>
    <s v="04-07-2021"/>
    <x v="9"/>
    <x v="0"/>
    <x v="1"/>
    <n v="115"/>
    <n v="4000"/>
    <n v="3000"/>
    <n v="460000"/>
    <n v="115000"/>
  </r>
  <r>
    <s v="04-02-2020"/>
    <x v="8"/>
    <x v="1"/>
    <x v="1"/>
    <n v="64"/>
    <n v="4000"/>
    <n v="3000"/>
    <n v="256000"/>
    <n v="64000"/>
  </r>
  <r>
    <s v="02-07-2020"/>
    <x v="1"/>
    <x v="3"/>
    <x v="5"/>
    <n v="145"/>
    <n v="1000"/>
    <n v="700"/>
    <n v="145000"/>
    <n v="43500"/>
  </r>
  <r>
    <s v="07-06-2020"/>
    <x v="0"/>
    <x v="0"/>
    <x v="0"/>
    <n v="59"/>
    <n v="3500"/>
    <n v="2500"/>
    <n v="206500"/>
    <n v="59000"/>
  </r>
  <r>
    <s v="13-01-2021"/>
    <x v="3"/>
    <x v="2"/>
    <x v="1"/>
    <n v="117"/>
    <n v="4000"/>
    <n v="3000"/>
    <n v="468000"/>
    <n v="117000"/>
  </r>
  <r>
    <s v="05-08-2021"/>
    <x v="6"/>
    <x v="2"/>
    <x v="6"/>
    <n v="80"/>
    <n v="10000"/>
    <n v="7000"/>
    <n v="800000"/>
    <n v="240000"/>
  </r>
  <r>
    <s v="24-11-2021"/>
    <x v="3"/>
    <x v="2"/>
    <x v="5"/>
    <n v="100"/>
    <n v="1000"/>
    <n v="700"/>
    <n v="100000"/>
    <n v="30000"/>
  </r>
  <r>
    <s v="19-09-2020"/>
    <x v="8"/>
    <x v="0"/>
    <x v="5"/>
    <n v="52"/>
    <n v="1000"/>
    <n v="700"/>
    <n v="52000"/>
    <n v="15600"/>
  </r>
  <r>
    <s v="10-12-2020"/>
    <x v="2"/>
    <x v="1"/>
    <x v="3"/>
    <n v="110"/>
    <n v="600"/>
    <n v="400"/>
    <n v="66000"/>
    <n v="22000"/>
  </r>
  <r>
    <s v="23-09-2021"/>
    <x v="2"/>
    <x v="1"/>
    <x v="2"/>
    <n v="86"/>
    <n v="6000"/>
    <n v="4000"/>
    <n v="516000"/>
    <n v="172000"/>
  </r>
  <r>
    <s v="25-03-2020"/>
    <x v="5"/>
    <x v="2"/>
    <x v="2"/>
    <n v="56"/>
    <n v="6000"/>
    <n v="4000"/>
    <n v="336000"/>
    <n v="112000"/>
  </r>
  <r>
    <s v="19-02-2020"/>
    <x v="7"/>
    <x v="2"/>
    <x v="1"/>
    <n v="70"/>
    <n v="4000"/>
    <n v="3000"/>
    <n v="280000"/>
    <n v="70000"/>
  </r>
  <r>
    <s v="23-03-2020"/>
    <x v="7"/>
    <x v="2"/>
    <x v="5"/>
    <n v="73"/>
    <n v="1000"/>
    <n v="700"/>
    <n v="73000"/>
    <n v="21900"/>
  </r>
  <r>
    <s v="17-07-2020"/>
    <x v="8"/>
    <x v="2"/>
    <x v="0"/>
    <n v="76"/>
    <n v="3500"/>
    <n v="2500"/>
    <n v="266000"/>
    <n v="76000"/>
  </r>
  <r>
    <s v="20-04-2020"/>
    <x v="0"/>
    <x v="3"/>
    <x v="0"/>
    <n v="97"/>
    <n v="3500"/>
    <n v="2500"/>
    <n v="339500"/>
    <n v="97000"/>
  </r>
  <r>
    <s v="25-11-2021"/>
    <x v="4"/>
    <x v="1"/>
    <x v="5"/>
    <n v="94"/>
    <n v="1000"/>
    <n v="700"/>
    <n v="94000"/>
    <n v="28200"/>
  </r>
  <r>
    <s v="03-07-2021"/>
    <x v="9"/>
    <x v="3"/>
    <x v="6"/>
    <n v="146"/>
    <n v="10000"/>
    <n v="7000"/>
    <n v="1460000"/>
    <n v="438000"/>
  </r>
  <r>
    <s v="23-06-2021"/>
    <x v="0"/>
    <x v="2"/>
    <x v="4"/>
    <n v="62"/>
    <n v="1200"/>
    <n v="800"/>
    <n v="74400"/>
    <n v="24800"/>
  </r>
  <r>
    <s v="07-12-2020"/>
    <x v="5"/>
    <x v="0"/>
    <x v="0"/>
    <n v="95"/>
    <n v="3500"/>
    <n v="2500"/>
    <n v="332500"/>
    <n v="95000"/>
  </r>
  <r>
    <s v="09-01-2020"/>
    <x v="2"/>
    <x v="2"/>
    <x v="4"/>
    <n v="136"/>
    <n v="1200"/>
    <n v="800"/>
    <n v="163200"/>
    <n v="54400"/>
  </r>
  <r>
    <s v="09-05-2020"/>
    <x v="0"/>
    <x v="0"/>
    <x v="4"/>
    <n v="99"/>
    <n v="1200"/>
    <n v="800"/>
    <n v="118800"/>
    <n v="39600"/>
  </r>
  <r>
    <s v="28-06-2021"/>
    <x v="3"/>
    <x v="2"/>
    <x v="2"/>
    <n v="94"/>
    <n v="6000"/>
    <n v="4000"/>
    <n v="564000"/>
    <n v="188000"/>
  </r>
  <r>
    <s v="11-01-2021"/>
    <x v="2"/>
    <x v="2"/>
    <x v="5"/>
    <n v="131"/>
    <n v="1000"/>
    <n v="700"/>
    <n v="131000"/>
    <n v="39300"/>
  </r>
  <r>
    <s v="29-09-2020"/>
    <x v="7"/>
    <x v="3"/>
    <x v="5"/>
    <n v="117"/>
    <n v="1000"/>
    <n v="700"/>
    <n v="117000"/>
    <n v="35100"/>
  </r>
  <r>
    <s v="11-06-2021"/>
    <x v="4"/>
    <x v="2"/>
    <x v="6"/>
    <n v="142"/>
    <n v="10000"/>
    <n v="7000"/>
    <n v="1420000"/>
    <n v="426000"/>
  </r>
  <r>
    <s v="10-03-2021"/>
    <x v="6"/>
    <x v="2"/>
    <x v="2"/>
    <n v="121"/>
    <n v="6000"/>
    <n v="4000"/>
    <n v="726000"/>
    <n v="242000"/>
  </r>
  <r>
    <s v="09-01-2021"/>
    <x v="9"/>
    <x v="0"/>
    <x v="0"/>
    <n v="76"/>
    <n v="3500"/>
    <n v="2500"/>
    <n v="266000"/>
    <n v="76000"/>
  </r>
  <r>
    <s v="09-02-2021"/>
    <x v="2"/>
    <x v="1"/>
    <x v="6"/>
    <n v="132"/>
    <n v="10000"/>
    <n v="7000"/>
    <n v="1320000"/>
    <n v="396000"/>
  </r>
  <r>
    <s v="26-06-2020"/>
    <x v="3"/>
    <x v="1"/>
    <x v="1"/>
    <n v="132"/>
    <n v="4000"/>
    <n v="3000"/>
    <n v="528000"/>
    <n v="132000"/>
  </r>
  <r>
    <s v="27-04-2020"/>
    <x v="6"/>
    <x v="0"/>
    <x v="6"/>
    <n v="139"/>
    <n v="10000"/>
    <n v="7000"/>
    <n v="1390000"/>
    <n v="417000"/>
  </r>
  <r>
    <s v="29-10-2020"/>
    <x v="8"/>
    <x v="2"/>
    <x v="3"/>
    <n v="88"/>
    <n v="600"/>
    <n v="400"/>
    <n v="52800"/>
    <n v="17600"/>
  </r>
  <r>
    <s v="09-12-2021"/>
    <x v="9"/>
    <x v="1"/>
    <x v="0"/>
    <n v="124"/>
    <n v="3500"/>
    <n v="2500"/>
    <n v="434000"/>
    <n v="124000"/>
  </r>
  <r>
    <s v="19-12-2021"/>
    <x v="1"/>
    <x v="1"/>
    <x v="0"/>
    <n v="84"/>
    <n v="3500"/>
    <n v="2500"/>
    <n v="294000"/>
    <n v="84000"/>
  </r>
  <r>
    <s v="21-01-2021"/>
    <x v="0"/>
    <x v="3"/>
    <x v="1"/>
    <n v="114"/>
    <n v="4000"/>
    <n v="3000"/>
    <n v="456000"/>
    <n v="114000"/>
  </r>
  <r>
    <s v="21-02-2021"/>
    <x v="3"/>
    <x v="3"/>
    <x v="1"/>
    <n v="112"/>
    <n v="4000"/>
    <n v="3000"/>
    <n v="448000"/>
    <n v="112000"/>
  </r>
  <r>
    <s v="23-08-2021"/>
    <x v="4"/>
    <x v="2"/>
    <x v="3"/>
    <n v="134"/>
    <n v="600"/>
    <n v="400"/>
    <n v="80400"/>
    <n v="26800"/>
  </r>
  <r>
    <s v="17-12-2021"/>
    <x v="0"/>
    <x v="3"/>
    <x v="1"/>
    <n v="131"/>
    <n v="4000"/>
    <n v="3000"/>
    <n v="524000"/>
    <n v="131000"/>
  </r>
  <r>
    <s v="26-02-2020"/>
    <x v="2"/>
    <x v="3"/>
    <x v="6"/>
    <n v="119"/>
    <n v="10000"/>
    <n v="7000"/>
    <n v="1190000"/>
    <n v="357000"/>
  </r>
  <r>
    <s v="28-08-2021"/>
    <x v="4"/>
    <x v="2"/>
    <x v="0"/>
    <n v="89"/>
    <n v="3500"/>
    <n v="2500"/>
    <n v="311500"/>
    <n v="89000"/>
  </r>
  <r>
    <s v="14-08-2021"/>
    <x v="3"/>
    <x v="1"/>
    <x v="0"/>
    <n v="79"/>
    <n v="3500"/>
    <n v="2500"/>
    <n v="276500"/>
    <n v="79000"/>
  </r>
  <r>
    <s v="17-05-2020"/>
    <x v="5"/>
    <x v="1"/>
    <x v="5"/>
    <n v="92"/>
    <n v="1000"/>
    <n v="700"/>
    <n v="92000"/>
    <n v="27600"/>
  </r>
  <r>
    <s v="11-12-2021"/>
    <x v="4"/>
    <x v="0"/>
    <x v="0"/>
    <n v="103"/>
    <n v="3500"/>
    <n v="2500"/>
    <n v="360500"/>
    <n v="103000"/>
  </r>
  <r>
    <s v="17-11-2021"/>
    <x v="0"/>
    <x v="0"/>
    <x v="4"/>
    <n v="133"/>
    <n v="1200"/>
    <n v="800"/>
    <n v="159600"/>
    <n v="53200"/>
  </r>
  <r>
    <s v="11-02-2021"/>
    <x v="3"/>
    <x v="2"/>
    <x v="2"/>
    <n v="72"/>
    <n v="6000"/>
    <n v="4000"/>
    <n v="432000"/>
    <n v="144000"/>
  </r>
  <r>
    <s v="23-12-2021"/>
    <x v="4"/>
    <x v="2"/>
    <x v="5"/>
    <n v="92"/>
    <n v="1000"/>
    <n v="700"/>
    <n v="92000"/>
    <n v="27600"/>
  </r>
  <r>
    <s v="18-05-2020"/>
    <x v="3"/>
    <x v="0"/>
    <x v="1"/>
    <n v="115"/>
    <n v="4000"/>
    <n v="3000"/>
    <n v="460000"/>
    <n v="115000"/>
  </r>
  <r>
    <s v="23-11-2021"/>
    <x v="0"/>
    <x v="1"/>
    <x v="1"/>
    <n v="110"/>
    <n v="4000"/>
    <n v="3000"/>
    <n v="440000"/>
    <n v="110000"/>
  </r>
  <r>
    <s v="08-09-2020"/>
    <x v="9"/>
    <x v="1"/>
    <x v="4"/>
    <n v="125"/>
    <n v="1200"/>
    <n v="800"/>
    <n v="150000"/>
    <n v="50000"/>
  </r>
  <r>
    <s v="09-06-2021"/>
    <x v="5"/>
    <x v="3"/>
    <x v="4"/>
    <n v="54"/>
    <n v="1200"/>
    <n v="800"/>
    <n v="64800"/>
    <n v="21600"/>
  </r>
  <r>
    <s v="27-02-2021"/>
    <x v="3"/>
    <x v="0"/>
    <x v="1"/>
    <n v="100"/>
    <n v="4000"/>
    <n v="3000"/>
    <n v="400000"/>
    <n v="100000"/>
  </r>
  <r>
    <s v="29-01-2020"/>
    <x v="0"/>
    <x v="1"/>
    <x v="6"/>
    <n v="132"/>
    <n v="10000"/>
    <n v="7000"/>
    <n v="1320000"/>
    <n v="396000"/>
  </r>
  <r>
    <s v="22-10-2020"/>
    <x v="1"/>
    <x v="3"/>
    <x v="1"/>
    <n v="118"/>
    <n v="4000"/>
    <n v="3000"/>
    <n v="472000"/>
    <n v="118000"/>
  </r>
  <r>
    <s v="25-05-2020"/>
    <x v="1"/>
    <x v="0"/>
    <x v="1"/>
    <n v="52"/>
    <n v="4000"/>
    <n v="3000"/>
    <n v="208000"/>
    <n v="52000"/>
  </r>
  <r>
    <s v="01-12-2021"/>
    <x v="6"/>
    <x v="3"/>
    <x v="5"/>
    <n v="114"/>
    <n v="1000"/>
    <n v="700"/>
    <n v="114000"/>
    <n v="34200"/>
  </r>
  <r>
    <s v="25-07-2020"/>
    <x v="4"/>
    <x v="0"/>
    <x v="1"/>
    <n v="131"/>
    <n v="4000"/>
    <n v="3000"/>
    <n v="524000"/>
    <n v="131000"/>
  </r>
  <r>
    <s v="10-01-2020"/>
    <x v="6"/>
    <x v="2"/>
    <x v="2"/>
    <n v="106"/>
    <n v="6000"/>
    <n v="4000"/>
    <n v="636000"/>
    <n v="212000"/>
  </r>
  <r>
    <s v="07-04-2020"/>
    <x v="7"/>
    <x v="2"/>
    <x v="0"/>
    <n v="59"/>
    <n v="3500"/>
    <n v="2500"/>
    <n v="206500"/>
    <n v="59000"/>
  </r>
  <r>
    <s v="21-04-2020"/>
    <x v="7"/>
    <x v="3"/>
    <x v="2"/>
    <n v="84"/>
    <n v="6000"/>
    <n v="4000"/>
    <n v="504000"/>
    <n v="168000"/>
  </r>
  <r>
    <s v="19-12-2021"/>
    <x v="0"/>
    <x v="3"/>
    <x v="5"/>
    <n v="139"/>
    <n v="1000"/>
    <n v="700"/>
    <n v="139000"/>
    <n v="41700"/>
  </r>
  <r>
    <s v="01-03-2020"/>
    <x v="3"/>
    <x v="0"/>
    <x v="6"/>
    <n v="148"/>
    <n v="10000"/>
    <n v="7000"/>
    <n v="1480000"/>
    <n v="444000"/>
  </r>
  <r>
    <s v="29-03-2021"/>
    <x v="5"/>
    <x v="0"/>
    <x v="1"/>
    <n v="133"/>
    <n v="4000"/>
    <n v="3000"/>
    <n v="532000"/>
    <n v="133000"/>
  </r>
  <r>
    <s v="27-10-2020"/>
    <x v="5"/>
    <x v="3"/>
    <x v="4"/>
    <n v="103"/>
    <n v="1200"/>
    <n v="800"/>
    <n v="123600"/>
    <n v="41200"/>
  </r>
  <r>
    <s v="10-09-2021"/>
    <x v="6"/>
    <x v="2"/>
    <x v="3"/>
    <n v="109"/>
    <n v="600"/>
    <n v="400"/>
    <n v="65400"/>
    <n v="21800"/>
  </r>
  <r>
    <s v="16-09-2020"/>
    <x v="3"/>
    <x v="1"/>
    <x v="3"/>
    <n v="108"/>
    <n v="600"/>
    <n v="400"/>
    <n v="64800"/>
    <n v="21600"/>
  </r>
  <r>
    <s v="21-04-2021"/>
    <x v="1"/>
    <x v="3"/>
    <x v="3"/>
    <n v="90"/>
    <n v="600"/>
    <n v="400"/>
    <n v="54000"/>
    <n v="18000"/>
  </r>
  <r>
    <s v="01-07-2021"/>
    <x v="8"/>
    <x v="2"/>
    <x v="1"/>
    <n v="78"/>
    <n v="4000"/>
    <n v="3000"/>
    <n v="312000"/>
    <n v="78000"/>
  </r>
  <r>
    <s v="11-04-2020"/>
    <x v="1"/>
    <x v="3"/>
    <x v="2"/>
    <n v="74"/>
    <n v="6000"/>
    <n v="4000"/>
    <n v="444000"/>
    <n v="148000"/>
  </r>
  <r>
    <s v="16-02-2021"/>
    <x v="1"/>
    <x v="1"/>
    <x v="2"/>
    <n v="104"/>
    <n v="6000"/>
    <n v="4000"/>
    <n v="624000"/>
    <n v="208000"/>
  </r>
  <r>
    <s v="03-05-2020"/>
    <x v="6"/>
    <x v="2"/>
    <x v="5"/>
    <n v="59"/>
    <n v="1000"/>
    <n v="700"/>
    <n v="59000"/>
    <n v="17700"/>
  </r>
  <r>
    <s v="08-03-2020"/>
    <x v="8"/>
    <x v="2"/>
    <x v="1"/>
    <n v="72"/>
    <n v="4000"/>
    <n v="3000"/>
    <n v="288000"/>
    <n v="72000"/>
  </r>
  <r>
    <s v="31-12-2021"/>
    <x v="3"/>
    <x v="1"/>
    <x v="2"/>
    <n v="53"/>
    <n v="6000"/>
    <n v="4000"/>
    <n v="318000"/>
    <n v="106000"/>
  </r>
  <r>
    <s v="10-07-2020"/>
    <x v="6"/>
    <x v="0"/>
    <x v="5"/>
    <n v="55"/>
    <n v="1000"/>
    <n v="700"/>
    <n v="55000"/>
    <n v="16500"/>
  </r>
  <r>
    <s v="08-09-2021"/>
    <x v="9"/>
    <x v="2"/>
    <x v="3"/>
    <n v="50"/>
    <n v="600"/>
    <n v="400"/>
    <n v="30000"/>
    <n v="10000"/>
  </r>
  <r>
    <s v="30-12-2020"/>
    <x v="9"/>
    <x v="3"/>
    <x v="3"/>
    <n v="74"/>
    <n v="600"/>
    <n v="400"/>
    <n v="44400"/>
    <n v="14800"/>
  </r>
  <r>
    <s v="30-09-2020"/>
    <x v="8"/>
    <x v="1"/>
    <x v="0"/>
    <n v="135"/>
    <n v="3500"/>
    <n v="2500"/>
    <n v="472500"/>
    <n v="135000"/>
  </r>
  <r>
    <s v="20-04-2020"/>
    <x v="4"/>
    <x v="1"/>
    <x v="3"/>
    <n v="79"/>
    <n v="600"/>
    <n v="400"/>
    <n v="47400"/>
    <n v="15800"/>
  </r>
  <r>
    <s v="20-12-2021"/>
    <x v="2"/>
    <x v="3"/>
    <x v="1"/>
    <n v="128"/>
    <n v="4000"/>
    <n v="3000"/>
    <n v="512000"/>
    <n v="128000"/>
  </r>
  <r>
    <s v="17-03-2020"/>
    <x v="8"/>
    <x v="0"/>
    <x v="1"/>
    <n v="131"/>
    <n v="4000"/>
    <n v="3000"/>
    <n v="524000"/>
    <n v="131000"/>
  </r>
  <r>
    <s v="12-09-2020"/>
    <x v="3"/>
    <x v="0"/>
    <x v="5"/>
    <n v="59"/>
    <n v="1000"/>
    <n v="700"/>
    <n v="59000"/>
    <n v="17700"/>
  </r>
  <r>
    <s v="16-10-2021"/>
    <x v="0"/>
    <x v="3"/>
    <x v="1"/>
    <n v="134"/>
    <n v="4000"/>
    <n v="3000"/>
    <n v="536000"/>
    <n v="134000"/>
  </r>
  <r>
    <s v="07-01-2020"/>
    <x v="3"/>
    <x v="1"/>
    <x v="1"/>
    <n v="70"/>
    <n v="4000"/>
    <n v="3000"/>
    <n v="280000"/>
    <n v="70000"/>
  </r>
  <r>
    <s v="20-10-2021"/>
    <x v="8"/>
    <x v="3"/>
    <x v="5"/>
    <n v="141"/>
    <n v="1000"/>
    <n v="700"/>
    <n v="141000"/>
    <n v="42300"/>
  </r>
  <r>
    <s v="05-03-2021"/>
    <x v="7"/>
    <x v="2"/>
    <x v="2"/>
    <n v="139"/>
    <n v="6000"/>
    <n v="4000"/>
    <n v="834000"/>
    <n v="278000"/>
  </r>
  <r>
    <s v="12-07-2020"/>
    <x v="4"/>
    <x v="3"/>
    <x v="1"/>
    <n v="130"/>
    <n v="4000"/>
    <n v="3000"/>
    <n v="520000"/>
    <n v="130000"/>
  </r>
  <r>
    <s v="20-12-2020"/>
    <x v="6"/>
    <x v="1"/>
    <x v="4"/>
    <n v="96"/>
    <n v="1200"/>
    <n v="800"/>
    <n v="115200"/>
    <n v="38400"/>
  </r>
  <r>
    <s v="08-08-2021"/>
    <x v="2"/>
    <x v="2"/>
    <x v="3"/>
    <n v="87"/>
    <n v="600"/>
    <n v="400"/>
    <n v="52200"/>
    <n v="17400"/>
  </r>
  <r>
    <s v="15-10-2021"/>
    <x v="2"/>
    <x v="2"/>
    <x v="3"/>
    <n v="134"/>
    <n v="600"/>
    <n v="400"/>
    <n v="80400"/>
    <n v="26800"/>
  </r>
  <r>
    <s v="23-04-2021"/>
    <x v="8"/>
    <x v="3"/>
    <x v="0"/>
    <n v="116"/>
    <n v="3500"/>
    <n v="2500"/>
    <n v="406000"/>
    <n v="116000"/>
  </r>
  <r>
    <s v="03-06-2021"/>
    <x v="3"/>
    <x v="2"/>
    <x v="5"/>
    <n v="51"/>
    <n v="1000"/>
    <n v="700"/>
    <n v="51000"/>
    <n v="15300"/>
  </r>
  <r>
    <s v="05-03-2020"/>
    <x v="1"/>
    <x v="2"/>
    <x v="6"/>
    <n v="67"/>
    <n v="10000"/>
    <n v="7000"/>
    <n v="670000"/>
    <n v="201000"/>
  </r>
  <r>
    <s v="26-07-2021"/>
    <x v="8"/>
    <x v="1"/>
    <x v="3"/>
    <n v="123"/>
    <n v="600"/>
    <n v="400"/>
    <n v="73800"/>
    <n v="24600"/>
  </r>
  <r>
    <s v="15-04-2021"/>
    <x v="7"/>
    <x v="1"/>
    <x v="6"/>
    <n v="52"/>
    <n v="10000"/>
    <n v="7000"/>
    <n v="520000"/>
    <n v="156000"/>
  </r>
  <r>
    <s v="13-04-2021"/>
    <x v="0"/>
    <x v="1"/>
    <x v="1"/>
    <n v="131"/>
    <n v="4000"/>
    <n v="3000"/>
    <n v="524000"/>
    <n v="131000"/>
  </r>
  <r>
    <s v="11-09-2021"/>
    <x v="4"/>
    <x v="1"/>
    <x v="6"/>
    <n v="144"/>
    <n v="10000"/>
    <n v="7000"/>
    <n v="1440000"/>
    <n v="432000"/>
  </r>
  <r>
    <s v="11-10-2021"/>
    <x v="6"/>
    <x v="2"/>
    <x v="0"/>
    <n v="131"/>
    <n v="3500"/>
    <n v="2500"/>
    <n v="458500"/>
    <n v="131000"/>
  </r>
  <r>
    <s v="01-12-2021"/>
    <x v="6"/>
    <x v="3"/>
    <x v="5"/>
    <n v="56"/>
    <n v="1000"/>
    <n v="700"/>
    <n v="56000"/>
    <n v="16800"/>
  </r>
  <r>
    <s v="13-05-2021"/>
    <x v="2"/>
    <x v="3"/>
    <x v="1"/>
    <n v="100"/>
    <n v="4000"/>
    <n v="3000"/>
    <n v="400000"/>
    <n v="100000"/>
  </r>
  <r>
    <s v="22-04-2021"/>
    <x v="0"/>
    <x v="3"/>
    <x v="0"/>
    <n v="102"/>
    <n v="3500"/>
    <n v="2500"/>
    <n v="357000"/>
    <n v="102000"/>
  </r>
  <r>
    <s v="03-12-2021"/>
    <x v="0"/>
    <x v="1"/>
    <x v="4"/>
    <n v="63"/>
    <n v="1200"/>
    <n v="800"/>
    <n v="75600"/>
    <n v="25200"/>
  </r>
  <r>
    <s v="13-10-2020"/>
    <x v="6"/>
    <x v="1"/>
    <x v="6"/>
    <n v="106"/>
    <n v="10000"/>
    <n v="7000"/>
    <n v="1060000"/>
    <n v="318000"/>
  </r>
  <r>
    <s v="10-06-2021"/>
    <x v="7"/>
    <x v="0"/>
    <x v="1"/>
    <n v="116"/>
    <n v="4000"/>
    <n v="3000"/>
    <n v="464000"/>
    <n v="116000"/>
  </r>
  <r>
    <s v="02-01-2021"/>
    <x v="6"/>
    <x v="2"/>
    <x v="6"/>
    <n v="68"/>
    <n v="10000"/>
    <n v="7000"/>
    <n v="680000"/>
    <n v="204000"/>
  </r>
  <r>
    <s v="29-04-2021"/>
    <x v="7"/>
    <x v="2"/>
    <x v="0"/>
    <n v="112"/>
    <n v="3500"/>
    <n v="2500"/>
    <n v="392000"/>
    <n v="112000"/>
  </r>
  <r>
    <s v="23-08-2021"/>
    <x v="6"/>
    <x v="1"/>
    <x v="3"/>
    <n v="95"/>
    <n v="600"/>
    <n v="400"/>
    <n v="57000"/>
    <n v="19000"/>
  </r>
  <r>
    <s v="10-12-2020"/>
    <x v="9"/>
    <x v="2"/>
    <x v="4"/>
    <n v="137"/>
    <n v="1200"/>
    <n v="800"/>
    <n v="164400"/>
    <n v="54800"/>
  </r>
  <r>
    <s v="06-06-2020"/>
    <x v="9"/>
    <x v="2"/>
    <x v="1"/>
    <n v="82"/>
    <n v="4000"/>
    <n v="3000"/>
    <n v="328000"/>
    <n v="82000"/>
  </r>
  <r>
    <s v="04-02-2020"/>
    <x v="2"/>
    <x v="0"/>
    <x v="0"/>
    <n v="103"/>
    <n v="3500"/>
    <n v="2500"/>
    <n v="360500"/>
    <n v="103000"/>
  </r>
  <r>
    <s v="17-12-2021"/>
    <x v="9"/>
    <x v="1"/>
    <x v="2"/>
    <n v="73"/>
    <n v="6000"/>
    <n v="4000"/>
    <n v="438000"/>
    <n v="146000"/>
  </r>
  <r>
    <s v="26-03-2020"/>
    <x v="4"/>
    <x v="2"/>
    <x v="5"/>
    <n v="98"/>
    <n v="1000"/>
    <n v="700"/>
    <n v="98000"/>
    <n v="29400"/>
  </r>
  <r>
    <s v="27-08-2020"/>
    <x v="7"/>
    <x v="3"/>
    <x v="1"/>
    <n v="135"/>
    <n v="4000"/>
    <n v="3000"/>
    <n v="540000"/>
    <n v="135000"/>
  </r>
  <r>
    <s v="24-02-2020"/>
    <x v="4"/>
    <x v="3"/>
    <x v="6"/>
    <n v="95"/>
    <n v="10000"/>
    <n v="7000"/>
    <n v="950000"/>
    <n v="285000"/>
  </r>
  <r>
    <s v="20-11-2021"/>
    <x v="2"/>
    <x v="0"/>
    <x v="3"/>
    <n v="76"/>
    <n v="600"/>
    <n v="400"/>
    <n v="45600"/>
    <n v="15200"/>
  </r>
  <r>
    <s v="27-08-2021"/>
    <x v="0"/>
    <x v="2"/>
    <x v="2"/>
    <n v="62"/>
    <n v="6000"/>
    <n v="4000"/>
    <n v="372000"/>
    <n v="124000"/>
  </r>
  <r>
    <s v="07-04-2020"/>
    <x v="4"/>
    <x v="1"/>
    <x v="4"/>
    <n v="97"/>
    <n v="1200"/>
    <n v="800"/>
    <n v="116400"/>
    <n v="38800"/>
  </r>
  <r>
    <s v="10-07-2021"/>
    <x v="8"/>
    <x v="3"/>
    <x v="4"/>
    <n v="58"/>
    <n v="1200"/>
    <n v="800"/>
    <n v="69600"/>
    <n v="23200"/>
  </r>
  <r>
    <s v="08-12-2021"/>
    <x v="5"/>
    <x v="1"/>
    <x v="6"/>
    <n v="122"/>
    <n v="10000"/>
    <n v="7000"/>
    <n v="1220000"/>
    <n v="366000"/>
  </r>
  <r>
    <s v="20-05-2021"/>
    <x v="5"/>
    <x v="2"/>
    <x v="4"/>
    <n v="59"/>
    <n v="1200"/>
    <n v="800"/>
    <n v="70800"/>
    <n v="23600"/>
  </r>
  <r>
    <s v="06-05-2020"/>
    <x v="1"/>
    <x v="1"/>
    <x v="1"/>
    <n v="66"/>
    <n v="4000"/>
    <n v="3000"/>
    <n v="264000"/>
    <n v="66000"/>
  </r>
  <r>
    <s v="26-11-2021"/>
    <x v="5"/>
    <x v="1"/>
    <x v="5"/>
    <n v="115"/>
    <n v="1000"/>
    <n v="700"/>
    <n v="115000"/>
    <n v="34500"/>
  </r>
  <r>
    <s v="01-08-2021"/>
    <x v="3"/>
    <x v="1"/>
    <x v="2"/>
    <n v="74"/>
    <n v="6000"/>
    <n v="4000"/>
    <n v="444000"/>
    <n v="148000"/>
  </r>
  <r>
    <s v="18-11-2021"/>
    <x v="3"/>
    <x v="3"/>
    <x v="1"/>
    <n v="140"/>
    <n v="4000"/>
    <n v="3000"/>
    <n v="560000"/>
    <n v="140000"/>
  </r>
  <r>
    <s v="14-12-2020"/>
    <x v="7"/>
    <x v="0"/>
    <x v="3"/>
    <n v="73"/>
    <n v="600"/>
    <n v="400"/>
    <n v="43800"/>
    <n v="14600"/>
  </r>
  <r>
    <s v="04-03-2020"/>
    <x v="2"/>
    <x v="1"/>
    <x v="6"/>
    <n v="82"/>
    <n v="10000"/>
    <n v="7000"/>
    <n v="820000"/>
    <n v="246000"/>
  </r>
  <r>
    <s v="02-09-2021"/>
    <x v="2"/>
    <x v="0"/>
    <x v="1"/>
    <n v="64"/>
    <n v="4000"/>
    <n v="3000"/>
    <n v="256000"/>
    <n v="64000"/>
  </r>
  <r>
    <s v="16-10-2021"/>
    <x v="1"/>
    <x v="0"/>
    <x v="3"/>
    <n v="80"/>
    <n v="600"/>
    <n v="400"/>
    <n v="48000"/>
    <n v="16000"/>
  </r>
  <r>
    <s v="10-04-2021"/>
    <x v="5"/>
    <x v="2"/>
    <x v="0"/>
    <n v="138"/>
    <n v="3500"/>
    <n v="2500"/>
    <n v="483000"/>
    <n v="138000"/>
  </r>
  <r>
    <s v="03-05-2020"/>
    <x v="6"/>
    <x v="1"/>
    <x v="3"/>
    <n v="100"/>
    <n v="600"/>
    <n v="400"/>
    <n v="60000"/>
    <n v="20000"/>
  </r>
  <r>
    <s v="19-06-2021"/>
    <x v="3"/>
    <x v="0"/>
    <x v="0"/>
    <n v="101"/>
    <n v="3500"/>
    <n v="2500"/>
    <n v="353500"/>
    <n v="101000"/>
  </r>
  <r>
    <s v="15-03-2021"/>
    <x v="1"/>
    <x v="1"/>
    <x v="0"/>
    <n v="65"/>
    <n v="3500"/>
    <n v="2500"/>
    <n v="227500"/>
    <n v="65000"/>
  </r>
  <r>
    <s v="02-08-2021"/>
    <x v="7"/>
    <x v="2"/>
    <x v="6"/>
    <n v="128"/>
    <n v="10000"/>
    <n v="7000"/>
    <n v="1280000"/>
    <n v="384000"/>
  </r>
  <r>
    <s v="22-10-2020"/>
    <x v="6"/>
    <x v="0"/>
    <x v="4"/>
    <n v="138"/>
    <n v="1200"/>
    <n v="800"/>
    <n v="165600"/>
    <n v="55200"/>
  </r>
  <r>
    <s v="07-06-2020"/>
    <x v="4"/>
    <x v="3"/>
    <x v="4"/>
    <n v="138"/>
    <n v="1200"/>
    <n v="800"/>
    <n v="165600"/>
    <n v="55200"/>
  </r>
  <r>
    <s v="03-03-2021"/>
    <x v="6"/>
    <x v="1"/>
    <x v="5"/>
    <n v="102"/>
    <n v="1000"/>
    <n v="700"/>
    <n v="102000"/>
    <n v="30600"/>
  </r>
  <r>
    <s v="12-02-2020"/>
    <x v="2"/>
    <x v="2"/>
    <x v="5"/>
    <n v="72"/>
    <n v="1000"/>
    <n v="700"/>
    <n v="72000"/>
    <n v="21600"/>
  </r>
  <r>
    <s v="12-03-2021"/>
    <x v="6"/>
    <x v="0"/>
    <x v="6"/>
    <n v="114"/>
    <n v="10000"/>
    <n v="7000"/>
    <n v="1140000"/>
    <n v="342000"/>
  </r>
  <r>
    <s v="24-10-2021"/>
    <x v="8"/>
    <x v="1"/>
    <x v="5"/>
    <n v="116"/>
    <n v="1000"/>
    <n v="700"/>
    <n v="116000"/>
    <n v="34800"/>
  </r>
  <r>
    <s v="27-01-2020"/>
    <x v="7"/>
    <x v="0"/>
    <x v="0"/>
    <n v="55"/>
    <n v="3500"/>
    <n v="2500"/>
    <n v="192500"/>
    <n v="55000"/>
  </r>
  <r>
    <s v="16-07-2020"/>
    <x v="5"/>
    <x v="0"/>
    <x v="6"/>
    <n v="103"/>
    <n v="10000"/>
    <n v="7000"/>
    <n v="1030000"/>
    <n v="309000"/>
  </r>
  <r>
    <s v="03-09-2021"/>
    <x v="8"/>
    <x v="2"/>
    <x v="3"/>
    <n v="103"/>
    <n v="600"/>
    <n v="400"/>
    <n v="61800"/>
    <n v="20600"/>
  </r>
  <r>
    <s v="28-03-2020"/>
    <x v="5"/>
    <x v="2"/>
    <x v="1"/>
    <n v="57"/>
    <n v="4000"/>
    <n v="3000"/>
    <n v="228000"/>
    <n v="57000"/>
  </r>
  <r>
    <s v="09-01-2020"/>
    <x v="3"/>
    <x v="1"/>
    <x v="1"/>
    <n v="85"/>
    <n v="4000"/>
    <n v="3000"/>
    <n v="340000"/>
    <n v="85000"/>
  </r>
  <r>
    <s v="16-04-2020"/>
    <x v="0"/>
    <x v="0"/>
    <x v="0"/>
    <n v="117"/>
    <n v="3500"/>
    <n v="2500"/>
    <n v="409500"/>
    <n v="117000"/>
  </r>
  <r>
    <s v="13-12-2021"/>
    <x v="9"/>
    <x v="0"/>
    <x v="5"/>
    <n v="128"/>
    <n v="1000"/>
    <n v="700"/>
    <n v="128000"/>
    <n v="38400"/>
  </r>
  <r>
    <s v="22-12-2021"/>
    <x v="7"/>
    <x v="3"/>
    <x v="6"/>
    <n v="122"/>
    <n v="10000"/>
    <n v="7000"/>
    <n v="1220000"/>
    <n v="366000"/>
  </r>
  <r>
    <s v="29-07-2020"/>
    <x v="5"/>
    <x v="0"/>
    <x v="5"/>
    <n v="145"/>
    <n v="1000"/>
    <n v="700"/>
    <n v="145000"/>
    <n v="43500"/>
  </r>
  <r>
    <s v="07-11-2021"/>
    <x v="9"/>
    <x v="1"/>
    <x v="0"/>
    <n v="136"/>
    <n v="3500"/>
    <n v="2500"/>
    <n v="476000"/>
    <n v="136000"/>
  </r>
  <r>
    <s v="14-08-2021"/>
    <x v="1"/>
    <x v="2"/>
    <x v="3"/>
    <n v="142"/>
    <n v="600"/>
    <n v="400"/>
    <n v="85200"/>
    <n v="28400"/>
  </r>
  <r>
    <s v="31-08-2020"/>
    <x v="9"/>
    <x v="2"/>
    <x v="3"/>
    <n v="125"/>
    <n v="600"/>
    <n v="400"/>
    <n v="75000"/>
    <n v="25000"/>
  </r>
  <r>
    <s v="24-01-2020"/>
    <x v="5"/>
    <x v="2"/>
    <x v="0"/>
    <n v="70"/>
    <n v="3500"/>
    <n v="2500"/>
    <n v="245000"/>
    <n v="70000"/>
  </r>
  <r>
    <s v="05-05-2020"/>
    <x v="9"/>
    <x v="1"/>
    <x v="0"/>
    <n v="120"/>
    <n v="3500"/>
    <n v="2500"/>
    <n v="420000"/>
    <n v="120000"/>
  </r>
  <r>
    <s v="27-01-2020"/>
    <x v="0"/>
    <x v="2"/>
    <x v="6"/>
    <n v="142"/>
    <n v="10000"/>
    <n v="7000"/>
    <n v="1420000"/>
    <n v="426000"/>
  </r>
  <r>
    <s v="05-12-2021"/>
    <x v="6"/>
    <x v="3"/>
    <x v="4"/>
    <n v="62"/>
    <n v="1200"/>
    <n v="800"/>
    <n v="74400"/>
    <n v="24800"/>
  </r>
  <r>
    <s v="30-05-2021"/>
    <x v="4"/>
    <x v="2"/>
    <x v="6"/>
    <n v="104"/>
    <n v="10000"/>
    <n v="7000"/>
    <n v="1040000"/>
    <n v="312000"/>
  </r>
  <r>
    <s v="02-10-2020"/>
    <x v="3"/>
    <x v="3"/>
    <x v="1"/>
    <n v="81"/>
    <n v="4000"/>
    <n v="3000"/>
    <n v="324000"/>
    <n v="81000"/>
  </r>
  <r>
    <s v="18-05-2020"/>
    <x v="7"/>
    <x v="2"/>
    <x v="5"/>
    <n v="105"/>
    <n v="1000"/>
    <n v="700"/>
    <n v="105000"/>
    <n v="31500"/>
  </r>
  <r>
    <s v="11-07-2020"/>
    <x v="7"/>
    <x v="0"/>
    <x v="6"/>
    <n v="93"/>
    <n v="10000"/>
    <n v="7000"/>
    <n v="930000"/>
    <n v="279000"/>
  </r>
  <r>
    <s v="06-10-2020"/>
    <x v="7"/>
    <x v="2"/>
    <x v="3"/>
    <n v="143"/>
    <n v="600"/>
    <n v="400"/>
    <n v="85800"/>
    <n v="28600"/>
  </r>
  <r>
    <s v="08-11-2020"/>
    <x v="9"/>
    <x v="2"/>
    <x v="1"/>
    <n v="116"/>
    <n v="4000"/>
    <n v="3000"/>
    <n v="464000"/>
    <n v="116000"/>
  </r>
  <r>
    <s v="17-08-2021"/>
    <x v="1"/>
    <x v="1"/>
    <x v="1"/>
    <n v="146"/>
    <n v="4000"/>
    <n v="3000"/>
    <n v="584000"/>
    <n v="146000"/>
  </r>
  <r>
    <s v="03-03-2020"/>
    <x v="1"/>
    <x v="0"/>
    <x v="4"/>
    <n v="130"/>
    <n v="1200"/>
    <n v="800"/>
    <n v="156000"/>
    <n v="52000"/>
  </r>
  <r>
    <s v="29-11-2020"/>
    <x v="7"/>
    <x v="2"/>
    <x v="3"/>
    <n v="107"/>
    <n v="600"/>
    <n v="400"/>
    <n v="64200"/>
    <n v="21400"/>
  </r>
  <r>
    <s v="01-10-2020"/>
    <x v="0"/>
    <x v="0"/>
    <x v="0"/>
    <n v="62"/>
    <n v="3500"/>
    <n v="2500"/>
    <n v="217000"/>
    <n v="62000"/>
  </r>
  <r>
    <s v="05-05-2020"/>
    <x v="5"/>
    <x v="2"/>
    <x v="1"/>
    <n v="54"/>
    <n v="4000"/>
    <n v="3000"/>
    <n v="216000"/>
    <n v="54000"/>
  </r>
  <r>
    <s v="30-11-2021"/>
    <x v="8"/>
    <x v="3"/>
    <x v="2"/>
    <n v="85"/>
    <n v="6000"/>
    <n v="4000"/>
    <n v="510000"/>
    <n v="170000"/>
  </r>
  <r>
    <s v="14-05-2021"/>
    <x v="6"/>
    <x v="3"/>
    <x v="0"/>
    <n v="81"/>
    <n v="3500"/>
    <n v="2500"/>
    <n v="283500"/>
    <n v="81000"/>
  </r>
  <r>
    <s v="23-02-2020"/>
    <x v="3"/>
    <x v="1"/>
    <x v="5"/>
    <n v="62"/>
    <n v="1000"/>
    <n v="700"/>
    <n v="62000"/>
    <n v="18600"/>
  </r>
  <r>
    <s v="16-09-2020"/>
    <x v="7"/>
    <x v="2"/>
    <x v="3"/>
    <n v="125"/>
    <n v="600"/>
    <n v="400"/>
    <n v="75000"/>
    <n v="25000"/>
  </r>
  <r>
    <s v="25-11-2021"/>
    <x v="2"/>
    <x v="3"/>
    <x v="5"/>
    <n v="115"/>
    <n v="1000"/>
    <n v="700"/>
    <n v="115000"/>
    <n v="34500"/>
  </r>
  <r>
    <s v="04-05-2021"/>
    <x v="2"/>
    <x v="2"/>
    <x v="0"/>
    <n v="120"/>
    <n v="3500"/>
    <n v="2500"/>
    <n v="420000"/>
    <n v="120000"/>
  </r>
  <r>
    <s v="03-06-2020"/>
    <x v="2"/>
    <x v="2"/>
    <x v="6"/>
    <n v="67"/>
    <n v="10000"/>
    <n v="7000"/>
    <n v="670000"/>
    <n v="201000"/>
  </r>
  <r>
    <s v="03-07-2021"/>
    <x v="6"/>
    <x v="1"/>
    <x v="1"/>
    <n v="74"/>
    <n v="4000"/>
    <n v="3000"/>
    <n v="296000"/>
    <n v="74000"/>
  </r>
  <r>
    <s v="14-02-2020"/>
    <x v="2"/>
    <x v="2"/>
    <x v="5"/>
    <n v="98"/>
    <n v="1000"/>
    <n v="700"/>
    <n v="98000"/>
    <n v="29400"/>
  </r>
  <r>
    <s v="14-04-2020"/>
    <x v="6"/>
    <x v="3"/>
    <x v="5"/>
    <n v="97"/>
    <n v="1000"/>
    <n v="700"/>
    <n v="97000"/>
    <n v="29100"/>
  </r>
  <r>
    <s v="14-03-2020"/>
    <x v="8"/>
    <x v="0"/>
    <x v="2"/>
    <n v="128"/>
    <n v="6000"/>
    <n v="4000"/>
    <n v="768000"/>
    <n v="256000"/>
  </r>
  <r>
    <s v="10-04-2021"/>
    <x v="1"/>
    <x v="2"/>
    <x v="5"/>
    <n v="66"/>
    <n v="1000"/>
    <n v="700"/>
    <n v="66000"/>
    <n v="19800"/>
  </r>
  <r>
    <s v="25-09-2020"/>
    <x v="2"/>
    <x v="0"/>
    <x v="3"/>
    <n v="140"/>
    <n v="600"/>
    <n v="400"/>
    <n v="84000"/>
    <n v="28000"/>
  </r>
  <r>
    <s v="26-04-2020"/>
    <x v="6"/>
    <x v="0"/>
    <x v="5"/>
    <n v="82"/>
    <n v="1000"/>
    <n v="700"/>
    <n v="82000"/>
    <n v="24600"/>
  </r>
  <r>
    <s v="26-12-2020"/>
    <x v="4"/>
    <x v="1"/>
    <x v="3"/>
    <n v="129"/>
    <n v="600"/>
    <n v="400"/>
    <n v="77400"/>
    <n v="25800"/>
  </r>
  <r>
    <s v="08-01-2020"/>
    <x v="1"/>
    <x v="0"/>
    <x v="0"/>
    <n v="61"/>
    <n v="3500"/>
    <n v="2500"/>
    <n v="213500"/>
    <n v="61000"/>
  </r>
  <r>
    <s v="17-10-2021"/>
    <x v="3"/>
    <x v="0"/>
    <x v="5"/>
    <n v="54"/>
    <n v="1000"/>
    <n v="700"/>
    <n v="54000"/>
    <n v="16200"/>
  </r>
  <r>
    <s v="30-09-2020"/>
    <x v="0"/>
    <x v="0"/>
    <x v="0"/>
    <n v="71"/>
    <n v="3500"/>
    <n v="2500"/>
    <n v="248500"/>
    <n v="71000"/>
  </r>
  <r>
    <s v="22-10-2020"/>
    <x v="4"/>
    <x v="2"/>
    <x v="3"/>
    <n v="140"/>
    <n v="600"/>
    <n v="400"/>
    <n v="84000"/>
    <n v="28000"/>
  </r>
  <r>
    <s v="19-04-2021"/>
    <x v="2"/>
    <x v="3"/>
    <x v="6"/>
    <n v="77"/>
    <n v="10000"/>
    <n v="7000"/>
    <n v="770000"/>
    <n v="231000"/>
  </r>
  <r>
    <s v="11-02-2021"/>
    <x v="4"/>
    <x v="2"/>
    <x v="0"/>
    <n v="102"/>
    <n v="3500"/>
    <n v="2500"/>
    <n v="357000"/>
    <n v="102000"/>
  </r>
  <r>
    <s v="21-05-2021"/>
    <x v="2"/>
    <x v="1"/>
    <x v="6"/>
    <n v="146"/>
    <n v="10000"/>
    <n v="7000"/>
    <n v="1460000"/>
    <n v="438000"/>
  </r>
  <r>
    <s v="21-11-2021"/>
    <x v="0"/>
    <x v="3"/>
    <x v="5"/>
    <n v="129"/>
    <n v="1000"/>
    <n v="700"/>
    <n v="129000"/>
    <n v="38700"/>
  </r>
  <r>
    <s v="02-11-2020"/>
    <x v="2"/>
    <x v="1"/>
    <x v="4"/>
    <n v="66"/>
    <n v="1200"/>
    <n v="800"/>
    <n v="79200"/>
    <n v="26400"/>
  </r>
  <r>
    <s v="01-09-2021"/>
    <x v="9"/>
    <x v="0"/>
    <x v="0"/>
    <n v="111"/>
    <n v="3500"/>
    <n v="2500"/>
    <n v="388500"/>
    <n v="111000"/>
  </r>
  <r>
    <s v="23-01-2021"/>
    <x v="1"/>
    <x v="1"/>
    <x v="1"/>
    <n v="95"/>
    <n v="4000"/>
    <n v="3000"/>
    <n v="380000"/>
    <n v="95000"/>
  </r>
  <r>
    <s v="24-04-2020"/>
    <x v="4"/>
    <x v="2"/>
    <x v="5"/>
    <n v="141"/>
    <n v="1000"/>
    <n v="700"/>
    <n v="141000"/>
    <n v="42300"/>
  </r>
  <r>
    <s v="14-03-2020"/>
    <x v="2"/>
    <x v="3"/>
    <x v="3"/>
    <n v="111"/>
    <n v="600"/>
    <n v="400"/>
    <n v="66600"/>
    <n v="22200"/>
  </r>
  <r>
    <s v="11-01-2020"/>
    <x v="3"/>
    <x v="2"/>
    <x v="4"/>
    <n v="60"/>
    <n v="1200"/>
    <n v="800"/>
    <n v="72000"/>
    <n v="24000"/>
  </r>
  <r>
    <s v="26-03-2020"/>
    <x v="7"/>
    <x v="0"/>
    <x v="4"/>
    <n v="146"/>
    <n v="1200"/>
    <n v="800"/>
    <n v="175200"/>
    <n v="58400"/>
  </r>
  <r>
    <s v="06-12-2021"/>
    <x v="7"/>
    <x v="2"/>
    <x v="4"/>
    <n v="100"/>
    <n v="1200"/>
    <n v="800"/>
    <n v="120000"/>
    <n v="40000"/>
  </r>
  <r>
    <s v="10-11-2020"/>
    <x v="6"/>
    <x v="2"/>
    <x v="1"/>
    <n v="137"/>
    <n v="4000"/>
    <n v="3000"/>
    <n v="548000"/>
    <n v="137000"/>
  </r>
  <r>
    <s v="27-11-2020"/>
    <x v="3"/>
    <x v="2"/>
    <x v="2"/>
    <n v="60"/>
    <n v="6000"/>
    <n v="4000"/>
    <n v="360000"/>
    <n v="120000"/>
  </r>
  <r>
    <s v="30-08-2020"/>
    <x v="2"/>
    <x v="3"/>
    <x v="4"/>
    <n v="108"/>
    <n v="1200"/>
    <n v="800"/>
    <n v="129600"/>
    <n v="43200"/>
  </r>
  <r>
    <s v="24-07-2021"/>
    <x v="4"/>
    <x v="1"/>
    <x v="5"/>
    <n v="118"/>
    <n v="1000"/>
    <n v="700"/>
    <n v="118000"/>
    <n v="35400"/>
  </r>
  <r>
    <s v="26-07-2021"/>
    <x v="2"/>
    <x v="1"/>
    <x v="4"/>
    <n v="109"/>
    <n v="1200"/>
    <n v="800"/>
    <n v="130800"/>
    <n v="43600"/>
  </r>
  <r>
    <s v="18-02-2021"/>
    <x v="1"/>
    <x v="3"/>
    <x v="2"/>
    <n v="82"/>
    <n v="6000"/>
    <n v="4000"/>
    <n v="492000"/>
    <n v="164000"/>
  </r>
  <r>
    <s v="27-12-2020"/>
    <x v="5"/>
    <x v="1"/>
    <x v="3"/>
    <n v="94"/>
    <n v="600"/>
    <n v="400"/>
    <n v="56400"/>
    <n v="18800"/>
  </r>
  <r>
    <s v="27-08-2020"/>
    <x v="6"/>
    <x v="3"/>
    <x v="0"/>
    <n v="61"/>
    <n v="3500"/>
    <n v="2500"/>
    <n v="213500"/>
    <n v="61000"/>
  </r>
  <r>
    <s v="14-12-2020"/>
    <x v="8"/>
    <x v="1"/>
    <x v="3"/>
    <n v="74"/>
    <n v="600"/>
    <n v="400"/>
    <n v="44400"/>
    <n v="14800"/>
  </r>
  <r>
    <s v="06-08-2021"/>
    <x v="7"/>
    <x v="0"/>
    <x v="3"/>
    <n v="66"/>
    <n v="600"/>
    <n v="400"/>
    <n v="39600"/>
    <n v="13200"/>
  </r>
  <r>
    <s v="06-07-2021"/>
    <x v="0"/>
    <x v="0"/>
    <x v="3"/>
    <n v="91"/>
    <n v="600"/>
    <n v="400"/>
    <n v="54600"/>
    <n v="18200"/>
  </r>
  <r>
    <s v="28-10-2021"/>
    <x v="5"/>
    <x v="1"/>
    <x v="0"/>
    <n v="103"/>
    <n v="3500"/>
    <n v="2500"/>
    <n v="360500"/>
    <n v="103000"/>
  </r>
  <r>
    <s v="09-05-2021"/>
    <x v="6"/>
    <x v="2"/>
    <x v="2"/>
    <n v="89"/>
    <n v="6000"/>
    <n v="4000"/>
    <n v="534000"/>
    <n v="178000"/>
  </r>
  <r>
    <s v="12-07-2021"/>
    <x v="4"/>
    <x v="0"/>
    <x v="3"/>
    <n v="145"/>
    <n v="600"/>
    <n v="400"/>
    <n v="87000"/>
    <n v="29000"/>
  </r>
  <r>
    <s v="23-08-2021"/>
    <x v="6"/>
    <x v="0"/>
    <x v="3"/>
    <n v="117"/>
    <n v="600"/>
    <n v="400"/>
    <n v="70200"/>
    <n v="23400"/>
  </r>
  <r>
    <s v="03-10-2021"/>
    <x v="6"/>
    <x v="3"/>
    <x v="6"/>
    <n v="84"/>
    <n v="10000"/>
    <n v="7000"/>
    <n v="840000"/>
    <n v="252000"/>
  </r>
  <r>
    <s v="01-02-2020"/>
    <x v="7"/>
    <x v="3"/>
    <x v="3"/>
    <n v="95"/>
    <n v="600"/>
    <n v="400"/>
    <n v="57000"/>
    <n v="19000"/>
  </r>
  <r>
    <s v="04-11-2020"/>
    <x v="4"/>
    <x v="3"/>
    <x v="2"/>
    <n v="147"/>
    <n v="6000"/>
    <n v="4000"/>
    <n v="882000"/>
    <n v="294000"/>
  </r>
  <r>
    <s v="18-04-2021"/>
    <x v="0"/>
    <x v="0"/>
    <x v="2"/>
    <n v="117"/>
    <n v="6000"/>
    <n v="4000"/>
    <n v="702000"/>
    <n v="234000"/>
  </r>
  <r>
    <s v="05-09-2020"/>
    <x v="4"/>
    <x v="0"/>
    <x v="2"/>
    <n v="64"/>
    <n v="6000"/>
    <n v="4000"/>
    <n v="384000"/>
    <n v="128000"/>
  </r>
  <r>
    <s v="08-04-2020"/>
    <x v="3"/>
    <x v="2"/>
    <x v="4"/>
    <n v="127"/>
    <n v="1200"/>
    <n v="800"/>
    <n v="152400"/>
    <n v="50800"/>
  </r>
  <r>
    <s v="20-02-2021"/>
    <x v="2"/>
    <x v="2"/>
    <x v="2"/>
    <n v="149"/>
    <n v="6000"/>
    <n v="4000"/>
    <n v="894000"/>
    <n v="298000"/>
  </r>
  <r>
    <s v="02-07-2021"/>
    <x v="0"/>
    <x v="0"/>
    <x v="4"/>
    <n v="75"/>
    <n v="1200"/>
    <n v="800"/>
    <n v="90000"/>
    <n v="30000"/>
  </r>
  <r>
    <s v="22-12-2021"/>
    <x v="1"/>
    <x v="1"/>
    <x v="3"/>
    <n v="145"/>
    <n v="600"/>
    <n v="400"/>
    <n v="87000"/>
    <n v="29000"/>
  </r>
  <r>
    <s v="04-03-2020"/>
    <x v="5"/>
    <x v="3"/>
    <x v="4"/>
    <n v="123"/>
    <n v="1200"/>
    <n v="800"/>
    <n v="147600"/>
    <n v="49200"/>
  </r>
  <r>
    <s v="07-04-2020"/>
    <x v="9"/>
    <x v="1"/>
    <x v="6"/>
    <n v="93"/>
    <n v="10000"/>
    <n v="7000"/>
    <n v="930000"/>
    <n v="279000"/>
  </r>
  <r>
    <s v="02-05-2021"/>
    <x v="5"/>
    <x v="1"/>
    <x v="5"/>
    <n v="124"/>
    <n v="1000"/>
    <n v="700"/>
    <n v="124000"/>
    <n v="37200"/>
  </r>
  <r>
    <s v="17-03-2021"/>
    <x v="6"/>
    <x v="1"/>
    <x v="4"/>
    <n v="82"/>
    <n v="1200"/>
    <n v="800"/>
    <n v="98400"/>
    <n v="32800"/>
  </r>
  <r>
    <s v="16-02-2021"/>
    <x v="0"/>
    <x v="1"/>
    <x v="0"/>
    <n v="66"/>
    <n v="3500"/>
    <n v="2500"/>
    <n v="231000"/>
    <n v="66000"/>
  </r>
  <r>
    <s v="17-08-2020"/>
    <x v="3"/>
    <x v="0"/>
    <x v="5"/>
    <n v="106"/>
    <n v="1000"/>
    <n v="700"/>
    <n v="106000"/>
    <n v="31800"/>
  </r>
  <r>
    <s v="16-05-2020"/>
    <x v="7"/>
    <x v="3"/>
    <x v="4"/>
    <n v="141"/>
    <n v="1200"/>
    <n v="800"/>
    <n v="169200"/>
    <n v="56400"/>
  </r>
  <r>
    <s v="14-05-2021"/>
    <x v="8"/>
    <x v="0"/>
    <x v="2"/>
    <n v="69"/>
    <n v="6000"/>
    <n v="4000"/>
    <n v="414000"/>
    <n v="138000"/>
  </r>
  <r>
    <s v="06-12-2021"/>
    <x v="5"/>
    <x v="0"/>
    <x v="5"/>
    <n v="116"/>
    <n v="1000"/>
    <n v="700"/>
    <n v="116000"/>
    <n v="34800"/>
  </r>
  <r>
    <s v="18-11-2021"/>
    <x v="8"/>
    <x v="1"/>
    <x v="0"/>
    <n v="147"/>
    <n v="3500"/>
    <n v="2500"/>
    <n v="514500"/>
    <n v="147000"/>
  </r>
  <r>
    <s v="12-11-2020"/>
    <x v="9"/>
    <x v="1"/>
    <x v="0"/>
    <n v="50"/>
    <n v="3500"/>
    <n v="2500"/>
    <n v="175000"/>
    <n v="50000"/>
  </r>
  <r>
    <s v="09-07-2021"/>
    <x v="4"/>
    <x v="2"/>
    <x v="5"/>
    <n v="145"/>
    <n v="1000"/>
    <n v="700"/>
    <n v="145000"/>
    <n v="43500"/>
  </r>
  <r>
    <s v="19-12-2021"/>
    <x v="8"/>
    <x v="2"/>
    <x v="4"/>
    <n v="107"/>
    <n v="1200"/>
    <n v="800"/>
    <n v="128400"/>
    <n v="42800"/>
  </r>
  <r>
    <s v="13-12-2020"/>
    <x v="9"/>
    <x v="1"/>
    <x v="1"/>
    <n v="142"/>
    <n v="4000"/>
    <n v="3000"/>
    <n v="568000"/>
    <n v="142000"/>
  </r>
  <r>
    <s v="24-04-2020"/>
    <x v="3"/>
    <x v="0"/>
    <x v="4"/>
    <n v="81"/>
    <n v="1200"/>
    <n v="800"/>
    <n v="97200"/>
    <n v="32400"/>
  </r>
  <r>
    <s v="18-04-2020"/>
    <x v="3"/>
    <x v="3"/>
    <x v="3"/>
    <n v="96"/>
    <n v="600"/>
    <n v="400"/>
    <n v="57600"/>
    <n v="19200"/>
  </r>
  <r>
    <s v="12-01-2021"/>
    <x v="6"/>
    <x v="2"/>
    <x v="5"/>
    <n v="85"/>
    <n v="1000"/>
    <n v="700"/>
    <n v="85000"/>
    <n v="25500"/>
  </r>
  <r>
    <s v="23-04-2021"/>
    <x v="1"/>
    <x v="1"/>
    <x v="3"/>
    <n v="117"/>
    <n v="600"/>
    <n v="400"/>
    <n v="70200"/>
    <n v="23400"/>
  </r>
  <r>
    <s v="15-03-2021"/>
    <x v="3"/>
    <x v="1"/>
    <x v="6"/>
    <n v="105"/>
    <n v="10000"/>
    <n v="7000"/>
    <n v="1050000"/>
    <n v="315000"/>
  </r>
  <r>
    <s v="24-01-2021"/>
    <x v="6"/>
    <x v="0"/>
    <x v="2"/>
    <n v="116"/>
    <n v="6000"/>
    <n v="4000"/>
    <n v="696000"/>
    <n v="232000"/>
  </r>
  <r>
    <s v="17-11-2020"/>
    <x v="0"/>
    <x v="1"/>
    <x v="3"/>
    <n v="138"/>
    <n v="600"/>
    <n v="400"/>
    <n v="82800"/>
    <n v="27600"/>
  </r>
  <r>
    <s v="26-12-2020"/>
    <x v="2"/>
    <x v="1"/>
    <x v="0"/>
    <n v="114"/>
    <n v="3500"/>
    <n v="2500"/>
    <n v="399000"/>
    <n v="114000"/>
  </r>
  <r>
    <s v="25-06-2020"/>
    <x v="8"/>
    <x v="0"/>
    <x v="1"/>
    <n v="92"/>
    <n v="4000"/>
    <n v="3000"/>
    <n v="368000"/>
    <n v="92000"/>
  </r>
  <r>
    <s v="26-07-2021"/>
    <x v="3"/>
    <x v="2"/>
    <x v="4"/>
    <n v="104"/>
    <n v="1200"/>
    <n v="800"/>
    <n v="124800"/>
    <n v="41600"/>
  </r>
  <r>
    <s v="06-08-2020"/>
    <x v="6"/>
    <x v="1"/>
    <x v="3"/>
    <n v="67"/>
    <n v="600"/>
    <n v="400"/>
    <n v="40200"/>
    <n v="13400"/>
  </r>
  <r>
    <s v="04-12-2021"/>
    <x v="5"/>
    <x v="0"/>
    <x v="0"/>
    <n v="98"/>
    <n v="3500"/>
    <n v="2500"/>
    <n v="343000"/>
    <n v="98000"/>
  </r>
  <r>
    <s v="25-08-2021"/>
    <x v="6"/>
    <x v="0"/>
    <x v="1"/>
    <n v="92"/>
    <n v="4000"/>
    <n v="3000"/>
    <n v="368000"/>
    <n v="92000"/>
  </r>
  <r>
    <s v="29-09-2020"/>
    <x v="5"/>
    <x v="2"/>
    <x v="3"/>
    <n v="106"/>
    <n v="600"/>
    <n v="400"/>
    <n v="63600"/>
    <n v="21200"/>
  </r>
  <r>
    <s v="15-11-2021"/>
    <x v="2"/>
    <x v="0"/>
    <x v="1"/>
    <n v="63"/>
    <n v="4000"/>
    <n v="3000"/>
    <n v="252000"/>
    <n v="63000"/>
  </r>
  <r>
    <s v="03-10-2020"/>
    <x v="9"/>
    <x v="1"/>
    <x v="6"/>
    <n v="100"/>
    <n v="10000"/>
    <n v="7000"/>
    <n v="1000000"/>
    <n v="300000"/>
  </r>
  <r>
    <s v="21-07-2021"/>
    <x v="5"/>
    <x v="3"/>
    <x v="1"/>
    <n v="141"/>
    <n v="4000"/>
    <n v="3000"/>
    <n v="564000"/>
    <n v="141000"/>
  </r>
  <r>
    <s v="30-05-2021"/>
    <x v="6"/>
    <x v="3"/>
    <x v="5"/>
    <n v="53"/>
    <n v="1000"/>
    <n v="700"/>
    <n v="53000"/>
    <n v="15900"/>
  </r>
  <r>
    <s v="19-01-2021"/>
    <x v="8"/>
    <x v="1"/>
    <x v="5"/>
    <n v="133"/>
    <n v="1000"/>
    <n v="700"/>
    <n v="133000"/>
    <n v="39900"/>
  </r>
  <r>
    <s v="30-05-2020"/>
    <x v="3"/>
    <x v="3"/>
    <x v="3"/>
    <n v="128"/>
    <n v="600"/>
    <n v="400"/>
    <n v="76800"/>
    <n v="25600"/>
  </r>
  <r>
    <s v="10-09-2020"/>
    <x v="1"/>
    <x v="0"/>
    <x v="6"/>
    <n v="144"/>
    <n v="10000"/>
    <n v="7000"/>
    <n v="1440000"/>
    <n v="432000"/>
  </r>
  <r>
    <s v="13-07-2021"/>
    <x v="1"/>
    <x v="2"/>
    <x v="4"/>
    <n v="143"/>
    <n v="1200"/>
    <n v="800"/>
    <n v="171600"/>
    <n v="57200"/>
  </r>
  <r>
    <s v="09-08-2021"/>
    <x v="7"/>
    <x v="2"/>
    <x v="1"/>
    <n v="74"/>
    <n v="4000"/>
    <n v="3000"/>
    <n v="296000"/>
    <n v="74000"/>
  </r>
  <r>
    <s v="14-09-2021"/>
    <x v="2"/>
    <x v="2"/>
    <x v="3"/>
    <n v="86"/>
    <n v="600"/>
    <n v="400"/>
    <n v="51600"/>
    <n v="17200"/>
  </r>
  <r>
    <s v="15-01-2020"/>
    <x v="2"/>
    <x v="3"/>
    <x v="6"/>
    <n v="122"/>
    <n v="10000"/>
    <n v="7000"/>
    <n v="1220000"/>
    <n v="366000"/>
  </r>
  <r>
    <s v="20-04-2021"/>
    <x v="3"/>
    <x v="3"/>
    <x v="1"/>
    <n v="133"/>
    <n v="4000"/>
    <n v="3000"/>
    <n v="532000"/>
    <n v="133000"/>
  </r>
  <r>
    <s v="09-02-2021"/>
    <x v="0"/>
    <x v="2"/>
    <x v="1"/>
    <n v="106"/>
    <n v="4000"/>
    <n v="3000"/>
    <n v="424000"/>
    <n v="106000"/>
  </r>
  <r>
    <s v="19-04-2021"/>
    <x v="6"/>
    <x v="0"/>
    <x v="1"/>
    <n v="127"/>
    <n v="4000"/>
    <n v="3000"/>
    <n v="508000"/>
    <n v="127000"/>
  </r>
  <r>
    <s v="26-09-2020"/>
    <x v="8"/>
    <x v="0"/>
    <x v="0"/>
    <n v="115"/>
    <n v="3500"/>
    <n v="2500"/>
    <n v="402500"/>
    <n v="115000"/>
  </r>
  <r>
    <s v="27-03-2020"/>
    <x v="5"/>
    <x v="1"/>
    <x v="0"/>
    <n v="108"/>
    <n v="3500"/>
    <n v="2500"/>
    <n v="378000"/>
    <n v="108000"/>
  </r>
  <r>
    <s v="26-06-2021"/>
    <x v="1"/>
    <x v="3"/>
    <x v="4"/>
    <n v="65"/>
    <n v="1200"/>
    <n v="800"/>
    <n v="78000"/>
    <n v="26000"/>
  </r>
  <r>
    <s v="12-06-2020"/>
    <x v="5"/>
    <x v="2"/>
    <x v="5"/>
    <n v="141"/>
    <n v="1000"/>
    <n v="700"/>
    <n v="141000"/>
    <n v="42300"/>
  </r>
  <r>
    <s v="10-10-2020"/>
    <x v="5"/>
    <x v="0"/>
    <x v="1"/>
    <n v="69"/>
    <n v="4000"/>
    <n v="3000"/>
    <n v="276000"/>
    <n v="69000"/>
  </r>
  <r>
    <s v="30-07-2021"/>
    <x v="9"/>
    <x v="3"/>
    <x v="1"/>
    <n v="114"/>
    <n v="4000"/>
    <n v="3000"/>
    <n v="456000"/>
    <n v="114000"/>
  </r>
  <r>
    <s v="22-08-2021"/>
    <x v="6"/>
    <x v="0"/>
    <x v="5"/>
    <n v="141"/>
    <n v="1000"/>
    <n v="700"/>
    <n v="141000"/>
    <n v="42300"/>
  </r>
  <r>
    <s v="21-07-2020"/>
    <x v="8"/>
    <x v="3"/>
    <x v="1"/>
    <n v="98"/>
    <n v="4000"/>
    <n v="3000"/>
    <n v="392000"/>
    <n v="98000"/>
  </r>
  <r>
    <s v="23-11-2021"/>
    <x v="1"/>
    <x v="1"/>
    <x v="1"/>
    <n v="93"/>
    <n v="4000"/>
    <n v="3000"/>
    <n v="372000"/>
    <n v="93000"/>
  </r>
  <r>
    <s v="03-11-2020"/>
    <x v="6"/>
    <x v="2"/>
    <x v="1"/>
    <n v="101"/>
    <n v="4000"/>
    <n v="3000"/>
    <n v="404000"/>
    <n v="101000"/>
  </r>
  <r>
    <s v="27-04-2020"/>
    <x v="4"/>
    <x v="3"/>
    <x v="2"/>
    <n v="148"/>
    <n v="6000"/>
    <n v="4000"/>
    <n v="888000"/>
    <n v="296000"/>
  </r>
  <r>
    <s v="10-12-2021"/>
    <x v="9"/>
    <x v="2"/>
    <x v="6"/>
    <n v="79"/>
    <n v="10000"/>
    <n v="7000"/>
    <n v="790000"/>
    <n v="237000"/>
  </r>
  <r>
    <s v="30-06-2020"/>
    <x v="1"/>
    <x v="1"/>
    <x v="2"/>
    <n v="53"/>
    <n v="6000"/>
    <n v="4000"/>
    <n v="318000"/>
    <n v="106000"/>
  </r>
  <r>
    <s v="05-04-2021"/>
    <x v="7"/>
    <x v="3"/>
    <x v="1"/>
    <n v="99"/>
    <n v="4000"/>
    <n v="3000"/>
    <n v="396000"/>
    <n v="99000"/>
  </r>
  <r>
    <s v="12-09-2020"/>
    <x v="5"/>
    <x v="3"/>
    <x v="0"/>
    <n v="131"/>
    <n v="3500"/>
    <n v="2500"/>
    <n v="458500"/>
    <n v="131000"/>
  </r>
  <r>
    <s v="08-10-2020"/>
    <x v="5"/>
    <x v="2"/>
    <x v="6"/>
    <n v="96"/>
    <n v="10000"/>
    <n v="7000"/>
    <n v="960000"/>
    <n v="288000"/>
  </r>
  <r>
    <s v="13-06-2020"/>
    <x v="3"/>
    <x v="2"/>
    <x v="4"/>
    <n v="102"/>
    <n v="1200"/>
    <n v="800"/>
    <n v="122400"/>
    <n v="40800"/>
  </r>
  <r>
    <s v="10-11-2021"/>
    <x v="1"/>
    <x v="3"/>
    <x v="5"/>
    <n v="124"/>
    <n v="1000"/>
    <n v="700"/>
    <n v="124000"/>
    <n v="37200"/>
  </r>
  <r>
    <s v="05-08-2021"/>
    <x v="1"/>
    <x v="3"/>
    <x v="0"/>
    <n v="125"/>
    <n v="3500"/>
    <n v="2500"/>
    <n v="437500"/>
    <n v="125000"/>
  </r>
  <r>
    <s v="02-06-2020"/>
    <x v="4"/>
    <x v="3"/>
    <x v="0"/>
    <n v="139"/>
    <n v="3500"/>
    <n v="2500"/>
    <n v="486500"/>
    <n v="139000"/>
  </r>
  <r>
    <s v="28-08-2021"/>
    <x v="8"/>
    <x v="0"/>
    <x v="2"/>
    <n v="123"/>
    <n v="6000"/>
    <n v="4000"/>
    <n v="738000"/>
    <n v="246000"/>
  </r>
  <r>
    <s v="12-07-2021"/>
    <x v="3"/>
    <x v="2"/>
    <x v="6"/>
    <n v="66"/>
    <n v="10000"/>
    <n v="7000"/>
    <n v="660000"/>
    <n v="198000"/>
  </r>
  <r>
    <s v="27-06-2020"/>
    <x v="9"/>
    <x v="3"/>
    <x v="0"/>
    <n v="116"/>
    <n v="3500"/>
    <n v="2500"/>
    <n v="406000"/>
    <n v="116000"/>
  </r>
  <r>
    <s v="10-05-2020"/>
    <x v="8"/>
    <x v="0"/>
    <x v="2"/>
    <n v="128"/>
    <n v="6000"/>
    <n v="4000"/>
    <n v="768000"/>
    <n v="256000"/>
  </r>
  <r>
    <s v="19-03-2021"/>
    <x v="1"/>
    <x v="3"/>
    <x v="5"/>
    <n v="69"/>
    <n v="1000"/>
    <n v="700"/>
    <n v="69000"/>
    <n v="20700"/>
  </r>
  <r>
    <s v="16-10-2020"/>
    <x v="5"/>
    <x v="3"/>
    <x v="1"/>
    <n v="79"/>
    <n v="4000"/>
    <n v="3000"/>
    <n v="316000"/>
    <n v="79000"/>
  </r>
  <r>
    <s v="26-04-2021"/>
    <x v="0"/>
    <x v="1"/>
    <x v="2"/>
    <n v="133"/>
    <n v="6000"/>
    <n v="4000"/>
    <n v="798000"/>
    <n v="266000"/>
  </r>
  <r>
    <s v="10-02-2020"/>
    <x v="6"/>
    <x v="2"/>
    <x v="0"/>
    <n v="142"/>
    <n v="3500"/>
    <n v="2500"/>
    <n v="497000"/>
    <n v="142000"/>
  </r>
  <r>
    <s v="27-04-2020"/>
    <x v="6"/>
    <x v="3"/>
    <x v="2"/>
    <n v="89"/>
    <n v="6000"/>
    <n v="4000"/>
    <n v="534000"/>
    <n v="178000"/>
  </r>
  <r>
    <s v="25-10-2020"/>
    <x v="4"/>
    <x v="1"/>
    <x v="1"/>
    <n v="101"/>
    <n v="4000"/>
    <n v="3000"/>
    <n v="404000"/>
    <n v="101000"/>
  </r>
  <r>
    <s v="24-07-2021"/>
    <x v="5"/>
    <x v="3"/>
    <x v="2"/>
    <n v="127"/>
    <n v="6000"/>
    <n v="4000"/>
    <n v="762000"/>
    <n v="254000"/>
  </r>
  <r>
    <s v="06-02-2020"/>
    <x v="0"/>
    <x v="2"/>
    <x v="0"/>
    <n v="88"/>
    <n v="3500"/>
    <n v="2500"/>
    <n v="308000"/>
    <n v="88000"/>
  </r>
  <r>
    <s v="11-11-2021"/>
    <x v="7"/>
    <x v="1"/>
    <x v="1"/>
    <n v="145"/>
    <n v="4000"/>
    <n v="3000"/>
    <n v="580000"/>
    <n v="145000"/>
  </r>
  <r>
    <s v="16-07-2020"/>
    <x v="5"/>
    <x v="3"/>
    <x v="1"/>
    <n v="148"/>
    <n v="4000"/>
    <n v="3000"/>
    <n v="592000"/>
    <n v="148000"/>
  </r>
  <r>
    <s v="30-09-2021"/>
    <x v="3"/>
    <x v="1"/>
    <x v="2"/>
    <n v="145"/>
    <n v="6000"/>
    <n v="4000"/>
    <n v="870000"/>
    <n v="290000"/>
  </r>
  <r>
    <s v="01-04-2020"/>
    <x v="6"/>
    <x v="2"/>
    <x v="1"/>
    <n v="83"/>
    <n v="4000"/>
    <n v="3000"/>
    <n v="332000"/>
    <n v="83000"/>
  </r>
  <r>
    <s v="28-06-2021"/>
    <x v="6"/>
    <x v="3"/>
    <x v="1"/>
    <n v="60"/>
    <n v="4000"/>
    <n v="3000"/>
    <n v="240000"/>
    <n v="60000"/>
  </r>
  <r>
    <s v="15-01-2020"/>
    <x v="8"/>
    <x v="3"/>
    <x v="0"/>
    <n v="100"/>
    <n v="3500"/>
    <n v="2500"/>
    <n v="350000"/>
    <n v="100000"/>
  </r>
  <r>
    <s v="26-07-2021"/>
    <x v="1"/>
    <x v="2"/>
    <x v="6"/>
    <n v="120"/>
    <n v="10000"/>
    <n v="7000"/>
    <n v="1200000"/>
    <n v="360000"/>
  </r>
  <r>
    <s v="29-07-2021"/>
    <x v="3"/>
    <x v="3"/>
    <x v="5"/>
    <n v="62"/>
    <n v="1000"/>
    <n v="700"/>
    <n v="62000"/>
    <n v="18600"/>
  </r>
  <r>
    <s v="15-06-2021"/>
    <x v="2"/>
    <x v="2"/>
    <x v="5"/>
    <n v="89"/>
    <n v="1000"/>
    <n v="700"/>
    <n v="89000"/>
    <n v="26700"/>
  </r>
  <r>
    <s v="28-07-2020"/>
    <x v="4"/>
    <x v="0"/>
    <x v="2"/>
    <n v="144"/>
    <n v="6000"/>
    <n v="4000"/>
    <n v="864000"/>
    <n v="288000"/>
  </r>
  <r>
    <s v="08-01-2020"/>
    <x v="8"/>
    <x v="1"/>
    <x v="3"/>
    <n v="131"/>
    <n v="600"/>
    <n v="400"/>
    <n v="78600"/>
    <n v="26200"/>
  </r>
  <r>
    <s v="25-11-2021"/>
    <x v="6"/>
    <x v="0"/>
    <x v="6"/>
    <n v="119"/>
    <n v="10000"/>
    <n v="7000"/>
    <n v="1190000"/>
    <n v="357000"/>
  </r>
  <r>
    <s v="02-06-2020"/>
    <x v="1"/>
    <x v="3"/>
    <x v="0"/>
    <n v="120"/>
    <n v="3500"/>
    <n v="2500"/>
    <n v="420000"/>
    <n v="120000"/>
  </r>
  <r>
    <s v="19-10-2021"/>
    <x v="1"/>
    <x v="3"/>
    <x v="4"/>
    <n v="95"/>
    <n v="1200"/>
    <n v="800"/>
    <n v="114000"/>
    <n v="38000"/>
  </r>
  <r>
    <s v="01-12-2020"/>
    <x v="6"/>
    <x v="1"/>
    <x v="5"/>
    <n v="83"/>
    <n v="1000"/>
    <n v="700"/>
    <n v="83000"/>
    <n v="24900"/>
  </r>
  <r>
    <s v="12-04-2020"/>
    <x v="9"/>
    <x v="3"/>
    <x v="5"/>
    <n v="150"/>
    <n v="1000"/>
    <n v="700"/>
    <n v="150000"/>
    <n v="45000"/>
  </r>
  <r>
    <s v="11-03-2021"/>
    <x v="5"/>
    <x v="1"/>
    <x v="1"/>
    <n v="66"/>
    <n v="4000"/>
    <n v="3000"/>
    <n v="264000"/>
    <n v="66000"/>
  </r>
  <r>
    <s v="02-11-2021"/>
    <x v="0"/>
    <x v="1"/>
    <x v="1"/>
    <n v="98"/>
    <n v="4000"/>
    <n v="3000"/>
    <n v="392000"/>
    <n v="98000"/>
  </r>
  <r>
    <s v="08-01-2020"/>
    <x v="4"/>
    <x v="0"/>
    <x v="5"/>
    <n v="124"/>
    <n v="1000"/>
    <n v="700"/>
    <n v="124000"/>
    <n v="37200"/>
  </r>
  <r>
    <s v="16-05-2020"/>
    <x v="8"/>
    <x v="2"/>
    <x v="0"/>
    <n v="74"/>
    <n v="3500"/>
    <n v="2500"/>
    <n v="259000"/>
    <n v="74000"/>
  </r>
  <r>
    <s v="30-07-2021"/>
    <x v="7"/>
    <x v="2"/>
    <x v="3"/>
    <n v="63"/>
    <n v="600"/>
    <n v="400"/>
    <n v="37800"/>
    <n v="12600"/>
  </r>
  <r>
    <s v="30-04-2021"/>
    <x v="9"/>
    <x v="3"/>
    <x v="0"/>
    <n v="75"/>
    <n v="3500"/>
    <n v="2500"/>
    <n v="262500"/>
    <n v="75000"/>
  </r>
  <r>
    <s v="23-07-2021"/>
    <x v="5"/>
    <x v="2"/>
    <x v="1"/>
    <n v="114"/>
    <n v="4000"/>
    <n v="3000"/>
    <n v="456000"/>
    <n v="114000"/>
  </r>
  <r>
    <s v="11-08-2020"/>
    <x v="9"/>
    <x v="2"/>
    <x v="6"/>
    <n v="61"/>
    <n v="10000"/>
    <n v="7000"/>
    <n v="610000"/>
    <n v="183000"/>
  </r>
  <r>
    <s v="12-04-2021"/>
    <x v="2"/>
    <x v="1"/>
    <x v="6"/>
    <n v="99"/>
    <n v="10000"/>
    <n v="7000"/>
    <n v="990000"/>
    <n v="297000"/>
  </r>
  <r>
    <s v="05-01-2021"/>
    <x v="7"/>
    <x v="0"/>
    <x v="3"/>
    <n v="60"/>
    <n v="600"/>
    <n v="400"/>
    <n v="36000"/>
    <n v="12000"/>
  </r>
  <r>
    <s v="06-03-2020"/>
    <x v="3"/>
    <x v="0"/>
    <x v="3"/>
    <n v="117"/>
    <n v="600"/>
    <n v="400"/>
    <n v="70200"/>
    <n v="23400"/>
  </r>
  <r>
    <s v="07-02-2020"/>
    <x v="9"/>
    <x v="2"/>
    <x v="0"/>
    <n v="107"/>
    <n v="3500"/>
    <n v="2500"/>
    <n v="374500"/>
    <n v="107000"/>
  </r>
  <r>
    <s v="11-02-2021"/>
    <x v="2"/>
    <x v="3"/>
    <x v="3"/>
    <n v="143"/>
    <n v="600"/>
    <n v="400"/>
    <n v="85800"/>
    <n v="28600"/>
  </r>
  <r>
    <s v="01-11-2021"/>
    <x v="1"/>
    <x v="3"/>
    <x v="0"/>
    <n v="81"/>
    <n v="3500"/>
    <n v="2500"/>
    <n v="283500"/>
    <n v="81000"/>
  </r>
  <r>
    <s v="06-11-2020"/>
    <x v="0"/>
    <x v="0"/>
    <x v="4"/>
    <n v="121"/>
    <n v="1200"/>
    <n v="800"/>
    <n v="145200"/>
    <n v="48400"/>
  </r>
  <r>
    <s v="16-06-2021"/>
    <x v="6"/>
    <x v="1"/>
    <x v="6"/>
    <n v="150"/>
    <n v="10000"/>
    <n v="7000"/>
    <n v="1500000"/>
    <n v="450000"/>
  </r>
  <r>
    <s v="18-11-2020"/>
    <x v="6"/>
    <x v="1"/>
    <x v="2"/>
    <n v="126"/>
    <n v="6000"/>
    <n v="4000"/>
    <n v="756000"/>
    <n v="252000"/>
  </r>
  <r>
    <s v="24-03-2020"/>
    <x v="2"/>
    <x v="1"/>
    <x v="4"/>
    <n v="89"/>
    <n v="1200"/>
    <n v="800"/>
    <n v="106800"/>
    <n v="35600"/>
  </r>
  <r>
    <s v="24-11-2020"/>
    <x v="7"/>
    <x v="3"/>
    <x v="4"/>
    <n v="109"/>
    <n v="1200"/>
    <n v="800"/>
    <n v="130800"/>
    <n v="43600"/>
  </r>
  <r>
    <s v="26-12-2021"/>
    <x v="0"/>
    <x v="0"/>
    <x v="4"/>
    <n v="141"/>
    <n v="1200"/>
    <n v="800"/>
    <n v="169200"/>
    <n v="56400"/>
  </r>
  <r>
    <s v="23-10-2021"/>
    <x v="9"/>
    <x v="2"/>
    <x v="4"/>
    <n v="69"/>
    <n v="1200"/>
    <n v="800"/>
    <n v="82800"/>
    <n v="27600"/>
  </r>
  <r>
    <s v="21-10-2020"/>
    <x v="0"/>
    <x v="3"/>
    <x v="4"/>
    <n v="72"/>
    <n v="1200"/>
    <n v="800"/>
    <n v="86400"/>
    <n v="28800"/>
  </r>
  <r>
    <s v="26-08-2021"/>
    <x v="3"/>
    <x v="1"/>
    <x v="2"/>
    <n v="106"/>
    <n v="6000"/>
    <n v="4000"/>
    <n v="636000"/>
    <n v="212000"/>
  </r>
  <r>
    <s v="11-07-2020"/>
    <x v="5"/>
    <x v="0"/>
    <x v="5"/>
    <n v="101"/>
    <n v="1000"/>
    <n v="700"/>
    <n v="101000"/>
    <n v="30300"/>
  </r>
  <r>
    <s v="16-07-2021"/>
    <x v="8"/>
    <x v="3"/>
    <x v="5"/>
    <n v="145"/>
    <n v="1000"/>
    <n v="700"/>
    <n v="145000"/>
    <n v="43500"/>
  </r>
  <r>
    <s v="23-10-2020"/>
    <x v="1"/>
    <x v="2"/>
    <x v="2"/>
    <n v="111"/>
    <n v="6000"/>
    <n v="4000"/>
    <n v="666000"/>
    <n v="222000"/>
  </r>
  <r>
    <s v="19-02-2021"/>
    <x v="3"/>
    <x v="2"/>
    <x v="5"/>
    <n v="87"/>
    <n v="1000"/>
    <n v="700"/>
    <n v="87000"/>
    <n v="26100"/>
  </r>
  <r>
    <s v="20-05-2021"/>
    <x v="2"/>
    <x v="0"/>
    <x v="4"/>
    <n v="131"/>
    <n v="1200"/>
    <n v="800"/>
    <n v="157200"/>
    <n v="52400"/>
  </r>
  <r>
    <s v="12-11-2021"/>
    <x v="0"/>
    <x v="2"/>
    <x v="0"/>
    <n v="96"/>
    <n v="3500"/>
    <n v="2500"/>
    <n v="336000"/>
    <n v="96000"/>
  </r>
  <r>
    <s v="19-06-2020"/>
    <x v="0"/>
    <x v="3"/>
    <x v="5"/>
    <n v="133"/>
    <n v="1000"/>
    <n v="700"/>
    <n v="133000"/>
    <n v="39900"/>
  </r>
  <r>
    <s v="05-03-2021"/>
    <x v="4"/>
    <x v="0"/>
    <x v="4"/>
    <n v="107"/>
    <n v="1200"/>
    <n v="800"/>
    <n v="128400"/>
    <n v="42800"/>
  </r>
  <r>
    <s v="10-05-2020"/>
    <x v="3"/>
    <x v="3"/>
    <x v="5"/>
    <n v="63"/>
    <n v="1000"/>
    <n v="700"/>
    <n v="63000"/>
    <n v="18900"/>
  </r>
  <r>
    <s v="13-02-2021"/>
    <x v="9"/>
    <x v="3"/>
    <x v="4"/>
    <n v="72"/>
    <n v="1200"/>
    <n v="800"/>
    <n v="86400"/>
    <n v="28800"/>
  </r>
  <r>
    <s v="24-03-2020"/>
    <x v="0"/>
    <x v="3"/>
    <x v="0"/>
    <n v="121"/>
    <n v="3500"/>
    <n v="2500"/>
    <n v="423500"/>
    <n v="121000"/>
  </r>
  <r>
    <s v="02-12-2021"/>
    <x v="1"/>
    <x v="0"/>
    <x v="6"/>
    <n v="52"/>
    <n v="10000"/>
    <n v="7000"/>
    <n v="520000"/>
    <n v="156000"/>
  </r>
  <r>
    <s v="21-02-2021"/>
    <x v="1"/>
    <x v="3"/>
    <x v="5"/>
    <n v="150"/>
    <n v="1000"/>
    <n v="700"/>
    <n v="150000"/>
    <n v="45000"/>
  </r>
  <r>
    <s v="05-09-2020"/>
    <x v="5"/>
    <x v="2"/>
    <x v="2"/>
    <n v="94"/>
    <n v="6000"/>
    <n v="4000"/>
    <n v="564000"/>
    <n v="188000"/>
  </r>
  <r>
    <s v="15-07-2021"/>
    <x v="4"/>
    <x v="2"/>
    <x v="5"/>
    <n v="65"/>
    <n v="1000"/>
    <n v="700"/>
    <n v="65000"/>
    <n v="19500"/>
  </r>
  <r>
    <s v="18-06-2020"/>
    <x v="7"/>
    <x v="2"/>
    <x v="6"/>
    <n v="118"/>
    <n v="10000"/>
    <n v="7000"/>
    <n v="1180000"/>
    <n v="354000"/>
  </r>
  <r>
    <s v="18-02-2020"/>
    <x v="1"/>
    <x v="1"/>
    <x v="3"/>
    <n v="116"/>
    <n v="600"/>
    <n v="400"/>
    <n v="69600"/>
    <n v="23200"/>
  </r>
  <r>
    <s v="02-09-2020"/>
    <x v="0"/>
    <x v="3"/>
    <x v="6"/>
    <n v="135"/>
    <n v="10000"/>
    <n v="7000"/>
    <n v="1350000"/>
    <n v="405000"/>
  </r>
  <r>
    <s v="02-11-2020"/>
    <x v="0"/>
    <x v="2"/>
    <x v="2"/>
    <n v="120"/>
    <n v="6000"/>
    <n v="4000"/>
    <n v="720000"/>
    <n v="240000"/>
  </r>
  <r>
    <s v="19-05-2021"/>
    <x v="6"/>
    <x v="1"/>
    <x v="5"/>
    <n v="88"/>
    <n v="1000"/>
    <n v="700"/>
    <n v="88000"/>
    <n v="26400"/>
  </r>
  <r>
    <s v="04-03-2020"/>
    <x v="0"/>
    <x v="0"/>
    <x v="0"/>
    <n v="51"/>
    <n v="3500"/>
    <n v="2500"/>
    <n v="178500"/>
    <n v="51000"/>
  </r>
  <r>
    <s v="10-11-2020"/>
    <x v="7"/>
    <x v="1"/>
    <x v="4"/>
    <n v="117"/>
    <n v="1200"/>
    <n v="800"/>
    <n v="140400"/>
    <n v="46800"/>
  </r>
  <r>
    <s v="20-12-2020"/>
    <x v="2"/>
    <x v="1"/>
    <x v="6"/>
    <n v="109"/>
    <n v="10000"/>
    <n v="7000"/>
    <n v="1090000"/>
    <n v="327000"/>
  </r>
  <r>
    <s v="13-07-2020"/>
    <x v="3"/>
    <x v="1"/>
    <x v="2"/>
    <n v="113"/>
    <n v="6000"/>
    <n v="4000"/>
    <n v="678000"/>
    <n v="226000"/>
  </r>
  <r>
    <s v="31-08-2021"/>
    <x v="3"/>
    <x v="1"/>
    <x v="2"/>
    <n v="136"/>
    <n v="6000"/>
    <n v="4000"/>
    <n v="816000"/>
    <n v="272000"/>
  </r>
  <r>
    <s v="20-03-2021"/>
    <x v="1"/>
    <x v="0"/>
    <x v="6"/>
    <n v="105"/>
    <n v="10000"/>
    <n v="7000"/>
    <n v="1050000"/>
    <n v="315000"/>
  </r>
  <r>
    <s v="06-01-2021"/>
    <x v="6"/>
    <x v="1"/>
    <x v="6"/>
    <n v="83"/>
    <n v="10000"/>
    <n v="7000"/>
    <n v="830000"/>
    <n v="249000"/>
  </r>
  <r>
    <s v="10-03-2020"/>
    <x v="6"/>
    <x v="2"/>
    <x v="2"/>
    <n v="101"/>
    <n v="6000"/>
    <n v="4000"/>
    <n v="606000"/>
    <n v="202000"/>
  </r>
  <r>
    <s v="27-08-2021"/>
    <x v="7"/>
    <x v="1"/>
    <x v="4"/>
    <n v="97"/>
    <n v="1200"/>
    <n v="800"/>
    <n v="116400"/>
    <n v="38800"/>
  </r>
  <r>
    <s v="14-05-2020"/>
    <x v="1"/>
    <x v="2"/>
    <x v="3"/>
    <n v="86"/>
    <n v="600"/>
    <n v="400"/>
    <n v="51600"/>
    <n v="17200"/>
  </r>
  <r>
    <s v="23-02-2020"/>
    <x v="6"/>
    <x v="0"/>
    <x v="5"/>
    <n v="75"/>
    <n v="1000"/>
    <n v="700"/>
    <n v="75000"/>
    <n v="22500"/>
  </r>
  <r>
    <s v="10-07-2021"/>
    <x v="9"/>
    <x v="3"/>
    <x v="1"/>
    <n v="90"/>
    <n v="4000"/>
    <n v="3000"/>
    <n v="360000"/>
    <n v="90000"/>
  </r>
  <r>
    <s v="26-10-2021"/>
    <x v="9"/>
    <x v="2"/>
    <x v="3"/>
    <n v="145"/>
    <n v="600"/>
    <n v="400"/>
    <n v="87000"/>
    <n v="29000"/>
  </r>
  <r>
    <s v="18-12-2021"/>
    <x v="4"/>
    <x v="2"/>
    <x v="3"/>
    <n v="128"/>
    <n v="600"/>
    <n v="400"/>
    <n v="76800"/>
    <n v="25600"/>
  </r>
  <r>
    <s v="05-04-2020"/>
    <x v="8"/>
    <x v="3"/>
    <x v="3"/>
    <n v="147"/>
    <n v="600"/>
    <n v="400"/>
    <n v="88200"/>
    <n v="29400"/>
  </r>
  <r>
    <s v="30-04-2021"/>
    <x v="6"/>
    <x v="1"/>
    <x v="1"/>
    <n v="139"/>
    <n v="4000"/>
    <n v="3000"/>
    <n v="556000"/>
    <n v="139000"/>
  </r>
  <r>
    <s v="20-09-2021"/>
    <x v="7"/>
    <x v="0"/>
    <x v="5"/>
    <n v="110"/>
    <n v="1000"/>
    <n v="700"/>
    <n v="110000"/>
    <n v="33000"/>
  </r>
  <r>
    <s v="11-11-2021"/>
    <x v="6"/>
    <x v="0"/>
    <x v="5"/>
    <n v="66"/>
    <n v="1000"/>
    <n v="700"/>
    <n v="66000"/>
    <n v="19800"/>
  </r>
  <r>
    <s v="08-01-2020"/>
    <x v="6"/>
    <x v="0"/>
    <x v="0"/>
    <n v="83"/>
    <n v="3500"/>
    <n v="2500"/>
    <n v="290500"/>
    <n v="83000"/>
  </r>
  <r>
    <s v="07-07-2020"/>
    <x v="8"/>
    <x v="1"/>
    <x v="1"/>
    <n v="74"/>
    <n v="4000"/>
    <n v="3000"/>
    <n v="296000"/>
    <n v="74000"/>
  </r>
  <r>
    <s v="04-04-2021"/>
    <x v="0"/>
    <x v="3"/>
    <x v="0"/>
    <n v="145"/>
    <n v="3500"/>
    <n v="2500"/>
    <n v="507500"/>
    <n v="145000"/>
  </r>
  <r>
    <s v="01-05-2020"/>
    <x v="3"/>
    <x v="1"/>
    <x v="0"/>
    <n v="133"/>
    <n v="3500"/>
    <n v="2500"/>
    <n v="465500"/>
    <n v="133000"/>
  </r>
  <r>
    <s v="24-05-2021"/>
    <x v="5"/>
    <x v="1"/>
    <x v="5"/>
    <n v="52"/>
    <n v="1000"/>
    <n v="700"/>
    <n v="52000"/>
    <n v="15600"/>
  </r>
  <r>
    <s v="06-11-2021"/>
    <x v="7"/>
    <x v="3"/>
    <x v="3"/>
    <n v="97"/>
    <n v="600"/>
    <n v="400"/>
    <n v="58200"/>
    <n v="19400"/>
  </r>
  <r>
    <s v="15-07-2021"/>
    <x v="4"/>
    <x v="1"/>
    <x v="2"/>
    <n v="61"/>
    <n v="6000"/>
    <n v="4000"/>
    <n v="366000"/>
    <n v="122000"/>
  </r>
  <r>
    <s v="16-02-2021"/>
    <x v="1"/>
    <x v="2"/>
    <x v="0"/>
    <n v="117"/>
    <n v="3500"/>
    <n v="2500"/>
    <n v="409500"/>
    <n v="117000"/>
  </r>
  <r>
    <s v="11-03-2020"/>
    <x v="7"/>
    <x v="3"/>
    <x v="5"/>
    <n v="70"/>
    <n v="1000"/>
    <n v="700"/>
    <n v="70000"/>
    <n v="21000"/>
  </r>
  <r>
    <s v="16-09-2021"/>
    <x v="5"/>
    <x v="1"/>
    <x v="3"/>
    <n v="69"/>
    <n v="600"/>
    <n v="400"/>
    <n v="41400"/>
    <n v="13800"/>
  </r>
  <r>
    <s v="16-06-2020"/>
    <x v="1"/>
    <x v="1"/>
    <x v="6"/>
    <n v="63"/>
    <n v="10000"/>
    <n v="7000"/>
    <n v="630000"/>
    <n v="189000"/>
  </r>
  <r>
    <s v="01-12-2021"/>
    <x v="0"/>
    <x v="3"/>
    <x v="0"/>
    <n v="134"/>
    <n v="3500"/>
    <n v="2500"/>
    <n v="469000"/>
    <n v="134000"/>
  </r>
  <r>
    <s v="29-03-2021"/>
    <x v="2"/>
    <x v="1"/>
    <x v="3"/>
    <n v="142"/>
    <n v="600"/>
    <n v="400"/>
    <n v="85200"/>
    <n v="28400"/>
  </r>
  <r>
    <s v="29-09-2021"/>
    <x v="3"/>
    <x v="1"/>
    <x v="6"/>
    <n v="95"/>
    <n v="10000"/>
    <n v="7000"/>
    <n v="950000"/>
    <n v="285000"/>
  </r>
  <r>
    <s v="07-10-2020"/>
    <x v="0"/>
    <x v="1"/>
    <x v="3"/>
    <n v="91"/>
    <n v="600"/>
    <n v="400"/>
    <n v="54600"/>
    <n v="18200"/>
  </r>
  <r>
    <s v="28-05-2020"/>
    <x v="3"/>
    <x v="0"/>
    <x v="3"/>
    <n v="109"/>
    <n v="600"/>
    <n v="400"/>
    <n v="65400"/>
    <n v="21800"/>
  </r>
  <r>
    <s v="06-06-2021"/>
    <x v="1"/>
    <x v="0"/>
    <x v="5"/>
    <n v="126"/>
    <n v="1000"/>
    <n v="700"/>
    <n v="126000"/>
    <n v="37800"/>
  </r>
  <r>
    <s v="14-08-2021"/>
    <x v="1"/>
    <x v="3"/>
    <x v="5"/>
    <n v="99"/>
    <n v="1000"/>
    <n v="700"/>
    <n v="99000"/>
    <n v="29700"/>
  </r>
  <r>
    <s v="08-06-2021"/>
    <x v="5"/>
    <x v="2"/>
    <x v="2"/>
    <n v="75"/>
    <n v="6000"/>
    <n v="4000"/>
    <n v="450000"/>
    <n v="150000"/>
  </r>
  <r>
    <s v="26-11-2021"/>
    <x v="6"/>
    <x v="3"/>
    <x v="2"/>
    <n v="104"/>
    <n v="6000"/>
    <n v="4000"/>
    <n v="624000"/>
    <n v="208000"/>
  </r>
  <r>
    <s v="15-12-2021"/>
    <x v="1"/>
    <x v="0"/>
    <x v="1"/>
    <n v="136"/>
    <n v="4000"/>
    <n v="3000"/>
    <n v="544000"/>
    <n v="136000"/>
  </r>
  <r>
    <s v="20-04-2020"/>
    <x v="6"/>
    <x v="3"/>
    <x v="1"/>
    <n v="112"/>
    <n v="4000"/>
    <n v="3000"/>
    <n v="448000"/>
    <n v="112000"/>
  </r>
  <r>
    <s v="05-05-2021"/>
    <x v="9"/>
    <x v="0"/>
    <x v="5"/>
    <n v="118"/>
    <n v="1000"/>
    <n v="700"/>
    <n v="118000"/>
    <n v="35400"/>
  </r>
  <r>
    <s v="09-10-2020"/>
    <x v="2"/>
    <x v="0"/>
    <x v="6"/>
    <n v="50"/>
    <n v="10000"/>
    <n v="7000"/>
    <n v="500000"/>
    <n v="150000"/>
  </r>
  <r>
    <s v="03-02-2020"/>
    <x v="2"/>
    <x v="0"/>
    <x v="4"/>
    <n v="62"/>
    <n v="1200"/>
    <n v="800"/>
    <n v="74400"/>
    <n v="24800"/>
  </r>
  <r>
    <s v="12-05-2021"/>
    <x v="8"/>
    <x v="3"/>
    <x v="4"/>
    <n v="105"/>
    <n v="1200"/>
    <n v="800"/>
    <n v="126000"/>
    <n v="42000"/>
  </r>
  <r>
    <s v="02-01-2020"/>
    <x v="6"/>
    <x v="1"/>
    <x v="6"/>
    <n v="63"/>
    <n v="10000"/>
    <n v="7000"/>
    <n v="630000"/>
    <n v="189000"/>
  </r>
  <r>
    <s v="16-08-2021"/>
    <x v="9"/>
    <x v="1"/>
    <x v="1"/>
    <n v="71"/>
    <n v="4000"/>
    <n v="3000"/>
    <n v="284000"/>
    <n v="71000"/>
  </r>
  <r>
    <s v="09-04-2020"/>
    <x v="1"/>
    <x v="2"/>
    <x v="3"/>
    <n v="131"/>
    <n v="600"/>
    <n v="400"/>
    <n v="78600"/>
    <n v="26200"/>
  </r>
  <r>
    <s v="22-05-2021"/>
    <x v="9"/>
    <x v="0"/>
    <x v="5"/>
    <n v="108"/>
    <n v="1000"/>
    <n v="700"/>
    <n v="108000"/>
    <n v="32400"/>
  </r>
  <r>
    <s v="10-01-2021"/>
    <x v="4"/>
    <x v="1"/>
    <x v="5"/>
    <n v="147"/>
    <n v="1000"/>
    <n v="700"/>
    <n v="147000"/>
    <n v="44100"/>
  </r>
  <r>
    <s v="28-08-2021"/>
    <x v="2"/>
    <x v="0"/>
    <x v="3"/>
    <n v="119"/>
    <n v="600"/>
    <n v="400"/>
    <n v="71400"/>
    <n v="23800"/>
  </r>
  <r>
    <s v="21-10-2021"/>
    <x v="3"/>
    <x v="2"/>
    <x v="2"/>
    <n v="119"/>
    <n v="6000"/>
    <n v="4000"/>
    <n v="714000"/>
    <n v="238000"/>
  </r>
  <r>
    <s v="25-04-2020"/>
    <x v="4"/>
    <x v="2"/>
    <x v="5"/>
    <n v="100"/>
    <n v="1000"/>
    <n v="700"/>
    <n v="100000"/>
    <n v="30000"/>
  </r>
  <r>
    <s v="19-08-2020"/>
    <x v="0"/>
    <x v="1"/>
    <x v="3"/>
    <n v="77"/>
    <n v="600"/>
    <n v="400"/>
    <n v="46200"/>
    <n v="15400"/>
  </r>
  <r>
    <s v="05-10-2020"/>
    <x v="6"/>
    <x v="1"/>
    <x v="2"/>
    <n v="139"/>
    <n v="6000"/>
    <n v="4000"/>
    <n v="834000"/>
    <n v="278000"/>
  </r>
  <r>
    <s v="01-12-2021"/>
    <x v="2"/>
    <x v="1"/>
    <x v="3"/>
    <n v="133"/>
    <n v="600"/>
    <n v="400"/>
    <n v="79800"/>
    <n v="26600"/>
  </r>
  <r>
    <s v="19-06-2021"/>
    <x v="4"/>
    <x v="1"/>
    <x v="5"/>
    <n v="60"/>
    <n v="1000"/>
    <n v="700"/>
    <n v="60000"/>
    <n v="18000"/>
  </r>
  <r>
    <s v="09-04-2020"/>
    <x v="0"/>
    <x v="0"/>
    <x v="6"/>
    <n v="122"/>
    <n v="10000"/>
    <n v="7000"/>
    <n v="1220000"/>
    <n v="366000"/>
  </r>
  <r>
    <s v="06-09-2021"/>
    <x v="9"/>
    <x v="0"/>
    <x v="1"/>
    <n v="98"/>
    <n v="4000"/>
    <n v="3000"/>
    <n v="392000"/>
    <n v="98000"/>
  </r>
  <r>
    <s v="14-04-2021"/>
    <x v="2"/>
    <x v="0"/>
    <x v="4"/>
    <n v="124"/>
    <n v="1200"/>
    <n v="800"/>
    <n v="148800"/>
    <n v="49600"/>
  </r>
  <r>
    <s v="03-07-2021"/>
    <x v="1"/>
    <x v="2"/>
    <x v="0"/>
    <n v="104"/>
    <n v="3500"/>
    <n v="2500"/>
    <n v="364000"/>
    <n v="104000"/>
  </r>
  <r>
    <s v="04-07-2021"/>
    <x v="4"/>
    <x v="3"/>
    <x v="2"/>
    <n v="136"/>
    <n v="6000"/>
    <n v="4000"/>
    <n v="816000"/>
    <n v="272000"/>
  </r>
  <r>
    <s v="21-12-2020"/>
    <x v="7"/>
    <x v="1"/>
    <x v="1"/>
    <n v="74"/>
    <n v="4000"/>
    <n v="3000"/>
    <n v="296000"/>
    <n v="74000"/>
  </r>
  <r>
    <s v="17-07-2020"/>
    <x v="9"/>
    <x v="3"/>
    <x v="2"/>
    <n v="107"/>
    <n v="6000"/>
    <n v="4000"/>
    <n v="642000"/>
    <n v="214000"/>
  </r>
  <r>
    <s v="16-02-2020"/>
    <x v="3"/>
    <x v="0"/>
    <x v="2"/>
    <n v="146"/>
    <n v="6000"/>
    <n v="4000"/>
    <n v="876000"/>
    <n v="292000"/>
  </r>
  <r>
    <s v="14-10-2021"/>
    <x v="9"/>
    <x v="0"/>
    <x v="3"/>
    <n v="123"/>
    <n v="600"/>
    <n v="400"/>
    <n v="73800"/>
    <n v="24600"/>
  </r>
  <r>
    <s v="30-07-2020"/>
    <x v="3"/>
    <x v="3"/>
    <x v="0"/>
    <n v="76"/>
    <n v="3500"/>
    <n v="2500"/>
    <n v="266000"/>
    <n v="76000"/>
  </r>
  <r>
    <s v="26-11-2020"/>
    <x v="7"/>
    <x v="2"/>
    <x v="1"/>
    <n v="77"/>
    <n v="4000"/>
    <n v="3000"/>
    <n v="308000"/>
    <n v="77000"/>
  </r>
  <r>
    <s v="26-06-2021"/>
    <x v="6"/>
    <x v="0"/>
    <x v="1"/>
    <n v="121"/>
    <n v="4000"/>
    <n v="3000"/>
    <n v="484000"/>
    <n v="121000"/>
  </r>
  <r>
    <s v="21-10-2021"/>
    <x v="7"/>
    <x v="3"/>
    <x v="5"/>
    <n v="104"/>
    <n v="1000"/>
    <n v="700"/>
    <n v="104000"/>
    <n v="31200"/>
  </r>
  <r>
    <s v="23-12-2020"/>
    <x v="1"/>
    <x v="3"/>
    <x v="0"/>
    <n v="77"/>
    <n v="3500"/>
    <n v="2500"/>
    <n v="269500"/>
    <n v="77000"/>
  </r>
  <r>
    <s v="28-01-2021"/>
    <x v="5"/>
    <x v="3"/>
    <x v="1"/>
    <n v="71"/>
    <n v="4000"/>
    <n v="3000"/>
    <n v="284000"/>
    <n v="71000"/>
  </r>
  <r>
    <s v="11-07-2021"/>
    <x v="6"/>
    <x v="3"/>
    <x v="2"/>
    <n v="87"/>
    <n v="6000"/>
    <n v="4000"/>
    <n v="522000"/>
    <n v="174000"/>
  </r>
  <r>
    <s v="21-04-2020"/>
    <x v="1"/>
    <x v="3"/>
    <x v="5"/>
    <n v="104"/>
    <n v="1000"/>
    <n v="700"/>
    <n v="104000"/>
    <n v="31200"/>
  </r>
  <r>
    <s v="06-09-2021"/>
    <x v="7"/>
    <x v="1"/>
    <x v="1"/>
    <n v="73"/>
    <n v="4000"/>
    <n v="3000"/>
    <n v="292000"/>
    <n v="73000"/>
  </r>
  <r>
    <s v="05-09-2021"/>
    <x v="1"/>
    <x v="2"/>
    <x v="2"/>
    <n v="92"/>
    <n v="6000"/>
    <n v="4000"/>
    <n v="552000"/>
    <n v="184000"/>
  </r>
  <r>
    <s v="21-07-2020"/>
    <x v="5"/>
    <x v="1"/>
    <x v="6"/>
    <n v="132"/>
    <n v="10000"/>
    <n v="7000"/>
    <n v="1320000"/>
    <n v="396000"/>
  </r>
  <r>
    <s v="18-09-2021"/>
    <x v="7"/>
    <x v="1"/>
    <x v="1"/>
    <n v="125"/>
    <n v="4000"/>
    <n v="3000"/>
    <n v="500000"/>
    <n v="125000"/>
  </r>
  <r>
    <s v="26-10-2021"/>
    <x v="0"/>
    <x v="3"/>
    <x v="1"/>
    <n v="126"/>
    <n v="4000"/>
    <n v="3000"/>
    <n v="504000"/>
    <n v="126000"/>
  </r>
  <r>
    <s v="29-03-2021"/>
    <x v="3"/>
    <x v="3"/>
    <x v="1"/>
    <n v="137"/>
    <n v="4000"/>
    <n v="3000"/>
    <n v="548000"/>
    <n v="137000"/>
  </r>
  <r>
    <s v="13-10-2021"/>
    <x v="6"/>
    <x v="2"/>
    <x v="1"/>
    <n v="119"/>
    <n v="4000"/>
    <n v="3000"/>
    <n v="476000"/>
    <n v="119000"/>
  </r>
  <r>
    <s v="22-12-2020"/>
    <x v="9"/>
    <x v="3"/>
    <x v="6"/>
    <n v="102"/>
    <n v="10000"/>
    <n v="7000"/>
    <n v="1020000"/>
    <n v="306000"/>
  </r>
  <r>
    <s v="19-09-2020"/>
    <x v="5"/>
    <x v="0"/>
    <x v="0"/>
    <n v="106"/>
    <n v="3500"/>
    <n v="2500"/>
    <n v="371000"/>
    <n v="106000"/>
  </r>
  <r>
    <s v="10-10-2021"/>
    <x v="5"/>
    <x v="1"/>
    <x v="6"/>
    <n v="104"/>
    <n v="10000"/>
    <n v="7000"/>
    <n v="1040000"/>
    <n v="312000"/>
  </r>
  <r>
    <s v="30-04-2021"/>
    <x v="4"/>
    <x v="2"/>
    <x v="6"/>
    <n v="135"/>
    <n v="10000"/>
    <n v="7000"/>
    <n v="1350000"/>
    <n v="405000"/>
  </r>
  <r>
    <s v="25-12-2020"/>
    <x v="3"/>
    <x v="2"/>
    <x v="2"/>
    <n v="52"/>
    <n v="6000"/>
    <n v="4000"/>
    <n v="312000"/>
    <n v="104000"/>
  </r>
  <r>
    <s v="13-05-2020"/>
    <x v="6"/>
    <x v="3"/>
    <x v="2"/>
    <n v="68"/>
    <n v="6000"/>
    <n v="4000"/>
    <n v="408000"/>
    <n v="136000"/>
  </r>
  <r>
    <s v="14-01-2020"/>
    <x v="8"/>
    <x v="2"/>
    <x v="1"/>
    <n v="66"/>
    <n v="4000"/>
    <n v="3000"/>
    <n v="264000"/>
    <n v="66000"/>
  </r>
  <r>
    <s v="05-05-2021"/>
    <x v="5"/>
    <x v="2"/>
    <x v="5"/>
    <n v="150"/>
    <n v="1000"/>
    <n v="700"/>
    <n v="150000"/>
    <n v="45000"/>
  </r>
  <r>
    <s v="15-12-2020"/>
    <x v="5"/>
    <x v="1"/>
    <x v="1"/>
    <n v="54"/>
    <n v="4000"/>
    <n v="3000"/>
    <n v="216000"/>
    <n v="54000"/>
  </r>
  <r>
    <s v="03-06-2020"/>
    <x v="7"/>
    <x v="1"/>
    <x v="4"/>
    <n v="138"/>
    <n v="1200"/>
    <n v="800"/>
    <n v="165600"/>
    <n v="55200"/>
  </r>
  <r>
    <s v="02-08-2020"/>
    <x v="1"/>
    <x v="1"/>
    <x v="3"/>
    <n v="50"/>
    <n v="600"/>
    <n v="400"/>
    <n v="30000"/>
    <n v="10000"/>
  </r>
  <r>
    <s v="08-12-2020"/>
    <x v="8"/>
    <x v="1"/>
    <x v="6"/>
    <n v="117"/>
    <n v="10000"/>
    <n v="7000"/>
    <n v="1170000"/>
    <n v="351000"/>
  </r>
  <r>
    <s v="03-09-2020"/>
    <x v="0"/>
    <x v="0"/>
    <x v="0"/>
    <n v="130"/>
    <n v="3500"/>
    <n v="2500"/>
    <n v="455000"/>
    <n v="130000"/>
  </r>
  <r>
    <s v="11-09-2021"/>
    <x v="3"/>
    <x v="1"/>
    <x v="4"/>
    <n v="125"/>
    <n v="1200"/>
    <n v="800"/>
    <n v="150000"/>
    <n v="50000"/>
  </r>
  <r>
    <s v="20-06-2020"/>
    <x v="8"/>
    <x v="1"/>
    <x v="4"/>
    <n v="121"/>
    <n v="1200"/>
    <n v="800"/>
    <n v="145200"/>
    <n v="48400"/>
  </r>
  <r>
    <s v="23-06-2020"/>
    <x v="7"/>
    <x v="1"/>
    <x v="0"/>
    <n v="55"/>
    <n v="3500"/>
    <n v="2500"/>
    <n v="192500"/>
    <n v="55000"/>
  </r>
  <r>
    <s v="24-05-2020"/>
    <x v="8"/>
    <x v="1"/>
    <x v="0"/>
    <n v="108"/>
    <n v="3500"/>
    <n v="2500"/>
    <n v="378000"/>
    <n v="108000"/>
  </r>
  <r>
    <s v="24-03-2021"/>
    <x v="0"/>
    <x v="0"/>
    <x v="4"/>
    <n v="78"/>
    <n v="1200"/>
    <n v="800"/>
    <n v="93600"/>
    <n v="31200"/>
  </r>
  <r>
    <s v="30-06-2020"/>
    <x v="6"/>
    <x v="2"/>
    <x v="2"/>
    <n v="110"/>
    <n v="6000"/>
    <n v="4000"/>
    <n v="660000"/>
    <n v="220000"/>
  </r>
  <r>
    <s v="27-08-2021"/>
    <x v="1"/>
    <x v="1"/>
    <x v="4"/>
    <n v="76"/>
    <n v="1200"/>
    <n v="800"/>
    <n v="91200"/>
    <n v="30400"/>
  </r>
  <r>
    <s v="10-12-2020"/>
    <x v="0"/>
    <x v="1"/>
    <x v="5"/>
    <n v="53"/>
    <n v="1000"/>
    <n v="700"/>
    <n v="53000"/>
    <n v="15900"/>
  </r>
  <r>
    <s v="23-05-2021"/>
    <x v="5"/>
    <x v="2"/>
    <x v="2"/>
    <n v="72"/>
    <n v="6000"/>
    <n v="4000"/>
    <n v="432000"/>
    <n v="144000"/>
  </r>
  <r>
    <s v="10-09-2021"/>
    <x v="5"/>
    <x v="2"/>
    <x v="0"/>
    <n v="148"/>
    <n v="3500"/>
    <n v="2500"/>
    <n v="518000"/>
    <n v="148000"/>
  </r>
  <r>
    <s v="17-07-2021"/>
    <x v="9"/>
    <x v="3"/>
    <x v="6"/>
    <n v="113"/>
    <n v="10000"/>
    <n v="7000"/>
    <n v="1130000"/>
    <n v="339000"/>
  </r>
  <r>
    <s v="10-01-2021"/>
    <x v="5"/>
    <x v="1"/>
    <x v="6"/>
    <n v="89"/>
    <n v="10000"/>
    <n v="7000"/>
    <n v="890000"/>
    <n v="267000"/>
  </r>
  <r>
    <s v="13-11-2020"/>
    <x v="0"/>
    <x v="2"/>
    <x v="2"/>
    <n v="87"/>
    <n v="6000"/>
    <n v="4000"/>
    <n v="522000"/>
    <n v="174000"/>
  </r>
  <r>
    <s v="29-06-2020"/>
    <x v="4"/>
    <x v="3"/>
    <x v="3"/>
    <n v="84"/>
    <n v="600"/>
    <n v="400"/>
    <n v="50400"/>
    <n v="16800"/>
  </r>
  <r>
    <s v="03-01-2020"/>
    <x v="4"/>
    <x v="3"/>
    <x v="6"/>
    <n v="146"/>
    <n v="10000"/>
    <n v="7000"/>
    <n v="1460000"/>
    <n v="438000"/>
  </r>
  <r>
    <s v="04-08-2021"/>
    <x v="8"/>
    <x v="1"/>
    <x v="5"/>
    <n v="98"/>
    <n v="1000"/>
    <n v="700"/>
    <n v="98000"/>
    <n v="29400"/>
  </r>
  <r>
    <s v="11-12-2020"/>
    <x v="6"/>
    <x v="1"/>
    <x v="3"/>
    <n v="133"/>
    <n v="600"/>
    <n v="400"/>
    <n v="79800"/>
    <n v="26600"/>
  </r>
  <r>
    <s v="31-08-2020"/>
    <x v="1"/>
    <x v="1"/>
    <x v="6"/>
    <n v="75"/>
    <n v="10000"/>
    <n v="7000"/>
    <n v="750000"/>
    <n v="225000"/>
  </r>
  <r>
    <s v="17-08-2020"/>
    <x v="7"/>
    <x v="3"/>
    <x v="5"/>
    <n v="129"/>
    <n v="1000"/>
    <n v="700"/>
    <n v="129000"/>
    <n v="38700"/>
  </r>
  <r>
    <s v="09-05-2021"/>
    <x v="6"/>
    <x v="0"/>
    <x v="4"/>
    <n v="148"/>
    <n v="1200"/>
    <n v="800"/>
    <n v="177600"/>
    <n v="59200"/>
  </r>
  <r>
    <s v="07-11-2020"/>
    <x v="2"/>
    <x v="3"/>
    <x v="1"/>
    <n v="76"/>
    <n v="4000"/>
    <n v="3000"/>
    <n v="304000"/>
    <n v="76000"/>
  </r>
  <r>
    <s v="08-07-2020"/>
    <x v="4"/>
    <x v="3"/>
    <x v="1"/>
    <n v="71"/>
    <n v="4000"/>
    <n v="3000"/>
    <n v="284000"/>
    <n v="71000"/>
  </r>
  <r>
    <s v="08-01-2020"/>
    <x v="0"/>
    <x v="1"/>
    <x v="5"/>
    <n v="133"/>
    <n v="1000"/>
    <n v="700"/>
    <n v="133000"/>
    <n v="39900"/>
  </r>
  <r>
    <s v="24-09-2020"/>
    <x v="1"/>
    <x v="0"/>
    <x v="6"/>
    <n v="53"/>
    <n v="10000"/>
    <n v="7000"/>
    <n v="530000"/>
    <n v="159000"/>
  </r>
  <r>
    <s v="23-02-2020"/>
    <x v="2"/>
    <x v="3"/>
    <x v="0"/>
    <n v="83"/>
    <n v="3500"/>
    <n v="2500"/>
    <n v="290500"/>
    <n v="83000"/>
  </r>
  <r>
    <s v="12-06-2020"/>
    <x v="3"/>
    <x v="1"/>
    <x v="2"/>
    <n v="140"/>
    <n v="6000"/>
    <n v="4000"/>
    <n v="840000"/>
    <n v="280000"/>
  </r>
  <r>
    <s v="03-11-2020"/>
    <x v="7"/>
    <x v="1"/>
    <x v="2"/>
    <n v="73"/>
    <n v="6000"/>
    <n v="4000"/>
    <n v="438000"/>
    <n v="146000"/>
  </r>
  <r>
    <s v="08-10-2021"/>
    <x v="6"/>
    <x v="2"/>
    <x v="0"/>
    <n v="73"/>
    <n v="3500"/>
    <n v="2500"/>
    <n v="255500"/>
    <n v="73000"/>
  </r>
  <r>
    <s v="02-08-2021"/>
    <x v="9"/>
    <x v="2"/>
    <x v="0"/>
    <n v="123"/>
    <n v="3500"/>
    <n v="2500"/>
    <n v="430500"/>
    <n v="123000"/>
  </r>
  <r>
    <s v="29-11-2020"/>
    <x v="5"/>
    <x v="2"/>
    <x v="5"/>
    <n v="98"/>
    <n v="1000"/>
    <n v="700"/>
    <n v="98000"/>
    <n v="29400"/>
  </r>
  <r>
    <s v="17-01-2020"/>
    <x v="9"/>
    <x v="0"/>
    <x v="0"/>
    <n v="107"/>
    <n v="3500"/>
    <n v="2500"/>
    <n v="374500"/>
    <n v="107000"/>
  </r>
  <r>
    <s v="11-02-2020"/>
    <x v="0"/>
    <x v="1"/>
    <x v="0"/>
    <n v="63"/>
    <n v="3500"/>
    <n v="2500"/>
    <n v="220500"/>
    <n v="63000"/>
  </r>
  <r>
    <s v="15-07-2021"/>
    <x v="2"/>
    <x v="1"/>
    <x v="2"/>
    <n v="77"/>
    <n v="6000"/>
    <n v="4000"/>
    <n v="462000"/>
    <n v="154000"/>
  </r>
  <r>
    <s v="24-09-2020"/>
    <x v="4"/>
    <x v="1"/>
    <x v="3"/>
    <n v="117"/>
    <n v="600"/>
    <n v="400"/>
    <n v="70200"/>
    <n v="23400"/>
  </r>
  <r>
    <s v="17-07-2021"/>
    <x v="9"/>
    <x v="1"/>
    <x v="2"/>
    <n v="138"/>
    <n v="6000"/>
    <n v="4000"/>
    <n v="828000"/>
    <n v="276000"/>
  </r>
  <r>
    <s v="04-01-2021"/>
    <x v="5"/>
    <x v="2"/>
    <x v="5"/>
    <n v="148"/>
    <n v="1000"/>
    <n v="700"/>
    <n v="148000"/>
    <n v="44400"/>
  </r>
  <r>
    <s v="23-09-2020"/>
    <x v="9"/>
    <x v="0"/>
    <x v="4"/>
    <n v="81"/>
    <n v="1200"/>
    <n v="800"/>
    <n v="97200"/>
    <n v="32400"/>
  </r>
  <r>
    <s v="01-10-2021"/>
    <x v="5"/>
    <x v="1"/>
    <x v="5"/>
    <n v="89"/>
    <n v="1000"/>
    <n v="700"/>
    <n v="89000"/>
    <n v="26700"/>
  </r>
  <r>
    <s v="28-11-2020"/>
    <x v="7"/>
    <x v="2"/>
    <x v="1"/>
    <n v="62"/>
    <n v="4000"/>
    <n v="3000"/>
    <n v="248000"/>
    <n v="62000"/>
  </r>
  <r>
    <s v="06-05-2020"/>
    <x v="1"/>
    <x v="2"/>
    <x v="0"/>
    <n v="99"/>
    <n v="3500"/>
    <n v="2500"/>
    <n v="346500"/>
    <n v="99000"/>
  </r>
  <r>
    <s v="06-07-2021"/>
    <x v="8"/>
    <x v="0"/>
    <x v="0"/>
    <n v="83"/>
    <n v="3500"/>
    <n v="2500"/>
    <n v="290500"/>
    <n v="83000"/>
  </r>
  <r>
    <s v="07-06-2020"/>
    <x v="8"/>
    <x v="2"/>
    <x v="3"/>
    <n v="90"/>
    <n v="600"/>
    <n v="400"/>
    <n v="54000"/>
    <n v="18000"/>
  </r>
  <r>
    <s v="07-01-2020"/>
    <x v="4"/>
    <x v="0"/>
    <x v="2"/>
    <n v="141"/>
    <n v="6000"/>
    <n v="4000"/>
    <n v="846000"/>
    <n v="282000"/>
  </r>
  <r>
    <s v="28-03-2020"/>
    <x v="4"/>
    <x v="2"/>
    <x v="1"/>
    <n v="92"/>
    <n v="4000"/>
    <n v="3000"/>
    <n v="368000"/>
    <n v="92000"/>
  </r>
  <r>
    <s v="03-03-2020"/>
    <x v="9"/>
    <x v="3"/>
    <x v="3"/>
    <n v="148"/>
    <n v="600"/>
    <n v="400"/>
    <n v="88800"/>
    <n v="29600"/>
  </r>
  <r>
    <s v="25-01-2021"/>
    <x v="8"/>
    <x v="1"/>
    <x v="6"/>
    <n v="145"/>
    <n v="10000"/>
    <n v="7000"/>
    <n v="1450000"/>
    <n v="435000"/>
  </r>
  <r>
    <s v="03-03-2020"/>
    <x v="5"/>
    <x v="3"/>
    <x v="5"/>
    <n v="78"/>
    <n v="1000"/>
    <n v="700"/>
    <n v="78000"/>
    <n v="23400"/>
  </r>
  <r>
    <s v="01-02-2021"/>
    <x v="4"/>
    <x v="0"/>
    <x v="0"/>
    <n v="107"/>
    <n v="3500"/>
    <n v="2500"/>
    <n v="374500"/>
    <n v="107000"/>
  </r>
  <r>
    <s v="07-09-2020"/>
    <x v="5"/>
    <x v="1"/>
    <x v="3"/>
    <n v="122"/>
    <n v="600"/>
    <n v="400"/>
    <n v="73200"/>
    <n v="24400"/>
  </r>
  <r>
    <s v="14-09-2021"/>
    <x v="5"/>
    <x v="1"/>
    <x v="0"/>
    <n v="77"/>
    <n v="3500"/>
    <n v="2500"/>
    <n v="269500"/>
    <n v="77000"/>
  </r>
  <r>
    <s v="06-07-2021"/>
    <x v="0"/>
    <x v="0"/>
    <x v="0"/>
    <n v="65"/>
    <n v="3500"/>
    <n v="2500"/>
    <n v="227500"/>
    <n v="65000"/>
  </r>
  <r>
    <s v="14-11-2021"/>
    <x v="6"/>
    <x v="1"/>
    <x v="2"/>
    <n v="113"/>
    <n v="6000"/>
    <n v="4000"/>
    <n v="678000"/>
    <n v="226000"/>
  </r>
  <r>
    <s v="19-01-2021"/>
    <x v="9"/>
    <x v="3"/>
    <x v="5"/>
    <n v="59"/>
    <n v="1000"/>
    <n v="700"/>
    <n v="59000"/>
    <n v="17700"/>
  </r>
  <r>
    <s v="10-05-2021"/>
    <x v="3"/>
    <x v="1"/>
    <x v="6"/>
    <n v="63"/>
    <n v="10000"/>
    <n v="7000"/>
    <n v="630000"/>
    <n v="189000"/>
  </r>
  <r>
    <s v="22-03-2020"/>
    <x v="5"/>
    <x v="2"/>
    <x v="4"/>
    <n v="147"/>
    <n v="1200"/>
    <n v="800"/>
    <n v="176400"/>
    <n v="58800"/>
  </r>
  <r>
    <s v="29-01-2021"/>
    <x v="8"/>
    <x v="1"/>
    <x v="0"/>
    <n v="51"/>
    <n v="3500"/>
    <n v="2500"/>
    <n v="178500"/>
    <n v="51000"/>
  </r>
  <r>
    <s v="16-01-2020"/>
    <x v="6"/>
    <x v="3"/>
    <x v="3"/>
    <n v="121"/>
    <n v="600"/>
    <n v="400"/>
    <n v="72600"/>
    <n v="24200"/>
  </r>
  <r>
    <s v="09-09-2021"/>
    <x v="4"/>
    <x v="2"/>
    <x v="3"/>
    <n v="114"/>
    <n v="600"/>
    <n v="400"/>
    <n v="68400"/>
    <n v="22800"/>
  </r>
  <r>
    <s v="28-11-2021"/>
    <x v="9"/>
    <x v="1"/>
    <x v="3"/>
    <n v="124"/>
    <n v="600"/>
    <n v="400"/>
    <n v="74400"/>
    <n v="24800"/>
  </r>
  <r>
    <s v="28-04-2020"/>
    <x v="7"/>
    <x v="1"/>
    <x v="0"/>
    <n v="137"/>
    <n v="3500"/>
    <n v="2500"/>
    <n v="479500"/>
    <n v="137000"/>
  </r>
  <r>
    <s v="20-04-2020"/>
    <x v="0"/>
    <x v="0"/>
    <x v="2"/>
    <n v="147"/>
    <n v="6000"/>
    <n v="4000"/>
    <n v="882000"/>
    <n v="294000"/>
  </r>
  <r>
    <s v="03-04-2020"/>
    <x v="1"/>
    <x v="3"/>
    <x v="4"/>
    <n v="125"/>
    <n v="1200"/>
    <n v="800"/>
    <n v="150000"/>
    <n v="50000"/>
  </r>
  <r>
    <s v="05-02-2021"/>
    <x v="1"/>
    <x v="2"/>
    <x v="6"/>
    <n v="107"/>
    <n v="10000"/>
    <n v="7000"/>
    <n v="1070000"/>
    <n v="321000"/>
  </r>
  <r>
    <s v="16-11-2020"/>
    <x v="3"/>
    <x v="2"/>
    <x v="6"/>
    <n v="84"/>
    <n v="10000"/>
    <n v="7000"/>
    <n v="840000"/>
    <n v="252000"/>
  </r>
  <r>
    <s v="22-09-2020"/>
    <x v="0"/>
    <x v="2"/>
    <x v="1"/>
    <n v="141"/>
    <n v="4000"/>
    <n v="3000"/>
    <n v="564000"/>
    <n v="141000"/>
  </r>
  <r>
    <s v="01-08-2021"/>
    <x v="4"/>
    <x v="1"/>
    <x v="3"/>
    <n v="91"/>
    <n v="600"/>
    <n v="400"/>
    <n v="54600"/>
    <n v="18200"/>
  </r>
  <r>
    <s v="17-08-2021"/>
    <x v="0"/>
    <x v="2"/>
    <x v="2"/>
    <n v="94"/>
    <n v="6000"/>
    <n v="4000"/>
    <n v="564000"/>
    <n v="188000"/>
  </r>
  <r>
    <s v="19-10-2021"/>
    <x v="4"/>
    <x v="2"/>
    <x v="6"/>
    <n v="109"/>
    <n v="10000"/>
    <n v="7000"/>
    <n v="1090000"/>
    <n v="327000"/>
  </r>
  <r>
    <s v="17-04-2020"/>
    <x v="6"/>
    <x v="2"/>
    <x v="3"/>
    <n v="143"/>
    <n v="600"/>
    <n v="400"/>
    <n v="85800"/>
    <n v="28600"/>
  </r>
  <r>
    <s v="25-07-2021"/>
    <x v="3"/>
    <x v="1"/>
    <x v="3"/>
    <n v="66"/>
    <n v="600"/>
    <n v="400"/>
    <n v="39600"/>
    <n v="13200"/>
  </r>
  <r>
    <s v="21-12-2021"/>
    <x v="4"/>
    <x v="1"/>
    <x v="3"/>
    <n v="113"/>
    <n v="600"/>
    <n v="400"/>
    <n v="67800"/>
    <n v="22600"/>
  </r>
  <r>
    <s v="09-09-2020"/>
    <x v="1"/>
    <x v="0"/>
    <x v="0"/>
    <n v="63"/>
    <n v="3500"/>
    <n v="2500"/>
    <n v="220500"/>
    <n v="63000"/>
  </r>
  <r>
    <s v="31-03-2021"/>
    <x v="2"/>
    <x v="1"/>
    <x v="6"/>
    <n v="53"/>
    <n v="10000"/>
    <n v="7000"/>
    <n v="530000"/>
    <n v="159000"/>
  </r>
  <r>
    <s v="14-11-2020"/>
    <x v="7"/>
    <x v="2"/>
    <x v="2"/>
    <n v="147"/>
    <n v="6000"/>
    <n v="4000"/>
    <n v="882000"/>
    <n v="294000"/>
  </r>
  <r>
    <s v="07-02-2020"/>
    <x v="4"/>
    <x v="3"/>
    <x v="2"/>
    <n v="126"/>
    <n v="6000"/>
    <n v="4000"/>
    <n v="756000"/>
    <n v="252000"/>
  </r>
  <r>
    <s v="17-12-2020"/>
    <x v="1"/>
    <x v="0"/>
    <x v="5"/>
    <n v="129"/>
    <n v="1000"/>
    <n v="700"/>
    <n v="129000"/>
    <n v="38700"/>
  </r>
  <r>
    <s v="10-05-2020"/>
    <x v="2"/>
    <x v="0"/>
    <x v="3"/>
    <n v="129"/>
    <n v="600"/>
    <n v="400"/>
    <n v="77400"/>
    <n v="25800"/>
  </r>
  <r>
    <s v="24-12-2020"/>
    <x v="3"/>
    <x v="0"/>
    <x v="2"/>
    <n v="74"/>
    <n v="6000"/>
    <n v="4000"/>
    <n v="444000"/>
    <n v="148000"/>
  </r>
  <r>
    <s v="03-01-2021"/>
    <x v="9"/>
    <x v="3"/>
    <x v="0"/>
    <n v="67"/>
    <n v="3500"/>
    <n v="2500"/>
    <n v="234500"/>
    <n v="67000"/>
  </r>
  <r>
    <s v="25-11-2020"/>
    <x v="2"/>
    <x v="2"/>
    <x v="1"/>
    <n v="86"/>
    <n v="4000"/>
    <n v="3000"/>
    <n v="344000"/>
    <n v="86000"/>
  </r>
  <r>
    <s v="04-02-2021"/>
    <x v="4"/>
    <x v="0"/>
    <x v="5"/>
    <n v="127"/>
    <n v="1000"/>
    <n v="700"/>
    <n v="127000"/>
    <n v="38100"/>
  </r>
  <r>
    <s v="02-04-2020"/>
    <x v="9"/>
    <x v="2"/>
    <x v="2"/>
    <n v="74"/>
    <n v="6000"/>
    <n v="4000"/>
    <n v="444000"/>
    <n v="148000"/>
  </r>
  <r>
    <s v="08-03-2021"/>
    <x v="4"/>
    <x v="2"/>
    <x v="2"/>
    <n v="56"/>
    <n v="6000"/>
    <n v="4000"/>
    <n v="336000"/>
    <n v="112000"/>
  </r>
  <r>
    <s v="20-09-2021"/>
    <x v="5"/>
    <x v="0"/>
    <x v="6"/>
    <n v="59"/>
    <n v="10000"/>
    <n v="7000"/>
    <n v="590000"/>
    <n v="177000"/>
  </r>
  <r>
    <s v="17-11-2021"/>
    <x v="9"/>
    <x v="1"/>
    <x v="0"/>
    <n v="148"/>
    <n v="3500"/>
    <n v="2500"/>
    <n v="518000"/>
    <n v="148000"/>
  </r>
  <r>
    <s v="27-04-2020"/>
    <x v="1"/>
    <x v="2"/>
    <x v="4"/>
    <n v="71"/>
    <n v="1200"/>
    <n v="800"/>
    <n v="85200"/>
    <n v="28400"/>
  </r>
  <r>
    <s v="09-11-2021"/>
    <x v="5"/>
    <x v="0"/>
    <x v="5"/>
    <n v="138"/>
    <n v="1000"/>
    <n v="700"/>
    <n v="138000"/>
    <n v="41400"/>
  </r>
  <r>
    <s v="30-05-2020"/>
    <x v="5"/>
    <x v="0"/>
    <x v="3"/>
    <n v="99"/>
    <n v="600"/>
    <n v="400"/>
    <n v="59400"/>
    <n v="19800"/>
  </r>
  <r>
    <s v="24-05-2021"/>
    <x v="7"/>
    <x v="1"/>
    <x v="2"/>
    <n v="107"/>
    <n v="6000"/>
    <n v="4000"/>
    <n v="642000"/>
    <n v="214000"/>
  </r>
  <r>
    <s v="18-09-2021"/>
    <x v="7"/>
    <x v="0"/>
    <x v="0"/>
    <n v="113"/>
    <n v="3500"/>
    <n v="2500"/>
    <n v="395500"/>
    <n v="113000"/>
  </r>
  <r>
    <s v="11-12-2020"/>
    <x v="4"/>
    <x v="3"/>
    <x v="0"/>
    <n v="147"/>
    <n v="3500"/>
    <n v="2500"/>
    <n v="514500"/>
    <n v="147000"/>
  </r>
  <r>
    <s v="18-11-2020"/>
    <x v="2"/>
    <x v="1"/>
    <x v="2"/>
    <n v="54"/>
    <n v="6000"/>
    <n v="4000"/>
    <n v="324000"/>
    <n v="108000"/>
  </r>
  <r>
    <s v="11-09-2021"/>
    <x v="9"/>
    <x v="0"/>
    <x v="3"/>
    <n v="97"/>
    <n v="600"/>
    <n v="400"/>
    <n v="58200"/>
    <n v="19400"/>
  </r>
  <r>
    <s v="29-12-2021"/>
    <x v="7"/>
    <x v="3"/>
    <x v="5"/>
    <n v="56"/>
    <n v="1000"/>
    <n v="700"/>
    <n v="56000"/>
    <n v="16800"/>
  </r>
  <r>
    <s v="14-03-2020"/>
    <x v="8"/>
    <x v="1"/>
    <x v="1"/>
    <n v="101"/>
    <n v="4000"/>
    <n v="3000"/>
    <n v="404000"/>
    <n v="101000"/>
  </r>
  <r>
    <s v="18-10-2020"/>
    <x v="7"/>
    <x v="1"/>
    <x v="1"/>
    <n v="103"/>
    <n v="4000"/>
    <n v="3000"/>
    <n v="412000"/>
    <n v="103000"/>
  </r>
  <r>
    <s v="18-07-2020"/>
    <x v="9"/>
    <x v="2"/>
    <x v="0"/>
    <n v="98"/>
    <n v="3500"/>
    <n v="2500"/>
    <n v="343000"/>
    <n v="98000"/>
  </r>
  <r>
    <s v="07-02-2021"/>
    <x v="3"/>
    <x v="0"/>
    <x v="0"/>
    <n v="75"/>
    <n v="3500"/>
    <n v="2500"/>
    <n v="262500"/>
    <n v="75000"/>
  </r>
  <r>
    <s v="08-10-2021"/>
    <x v="3"/>
    <x v="3"/>
    <x v="4"/>
    <n v="62"/>
    <n v="1200"/>
    <n v="800"/>
    <n v="74400"/>
    <n v="24800"/>
  </r>
  <r>
    <s v="11-09-2021"/>
    <x v="4"/>
    <x v="0"/>
    <x v="0"/>
    <n v="91"/>
    <n v="3500"/>
    <n v="2500"/>
    <n v="318500"/>
    <n v="91000"/>
  </r>
  <r>
    <s v="01-08-2020"/>
    <x v="8"/>
    <x v="1"/>
    <x v="0"/>
    <n v="111"/>
    <n v="3500"/>
    <n v="2500"/>
    <n v="388500"/>
    <n v="111000"/>
  </r>
  <r>
    <s v="28-10-2021"/>
    <x v="4"/>
    <x v="1"/>
    <x v="1"/>
    <n v="150"/>
    <n v="4000"/>
    <n v="3000"/>
    <n v="600000"/>
    <n v="150000"/>
  </r>
  <r>
    <s v="05-04-2020"/>
    <x v="6"/>
    <x v="0"/>
    <x v="6"/>
    <n v="56"/>
    <n v="10000"/>
    <n v="7000"/>
    <n v="560000"/>
    <n v="168000"/>
  </r>
  <r>
    <s v="19-05-2021"/>
    <x v="6"/>
    <x v="1"/>
    <x v="2"/>
    <n v="126"/>
    <n v="6000"/>
    <n v="4000"/>
    <n v="756000"/>
    <n v="252000"/>
  </r>
  <r>
    <s v="04-02-2020"/>
    <x v="4"/>
    <x v="3"/>
    <x v="4"/>
    <n v="97"/>
    <n v="1200"/>
    <n v="800"/>
    <n v="116400"/>
    <n v="38800"/>
  </r>
  <r>
    <s v="22-10-2021"/>
    <x v="2"/>
    <x v="0"/>
    <x v="2"/>
    <n v="109"/>
    <n v="6000"/>
    <n v="4000"/>
    <n v="654000"/>
    <n v="218000"/>
  </r>
  <r>
    <s v="14-03-2020"/>
    <x v="1"/>
    <x v="0"/>
    <x v="1"/>
    <n v="118"/>
    <n v="4000"/>
    <n v="3000"/>
    <n v="472000"/>
    <n v="118000"/>
  </r>
  <r>
    <s v="18-07-2021"/>
    <x v="2"/>
    <x v="1"/>
    <x v="5"/>
    <n v="86"/>
    <n v="1000"/>
    <n v="700"/>
    <n v="86000"/>
    <n v="25800"/>
  </r>
  <r>
    <s v="15-05-2021"/>
    <x v="6"/>
    <x v="2"/>
    <x v="4"/>
    <n v="139"/>
    <n v="1200"/>
    <n v="800"/>
    <n v="166800"/>
    <n v="55600"/>
  </r>
  <r>
    <s v="03-04-2021"/>
    <x v="3"/>
    <x v="2"/>
    <x v="0"/>
    <n v="72"/>
    <n v="3500"/>
    <n v="2500"/>
    <n v="252000"/>
    <n v="72000"/>
  </r>
  <r>
    <s v="17-05-2020"/>
    <x v="3"/>
    <x v="3"/>
    <x v="2"/>
    <n v="114"/>
    <n v="6000"/>
    <n v="4000"/>
    <n v="684000"/>
    <n v="228000"/>
  </r>
  <r>
    <s v="01-04-2021"/>
    <x v="8"/>
    <x v="0"/>
    <x v="2"/>
    <n v="79"/>
    <n v="6000"/>
    <n v="4000"/>
    <n v="474000"/>
    <n v="158000"/>
  </r>
  <r>
    <s v="20-09-2020"/>
    <x v="6"/>
    <x v="1"/>
    <x v="1"/>
    <n v="138"/>
    <n v="4000"/>
    <n v="3000"/>
    <n v="552000"/>
    <n v="138000"/>
  </r>
  <r>
    <s v="04-08-2021"/>
    <x v="8"/>
    <x v="2"/>
    <x v="3"/>
    <n v="125"/>
    <n v="600"/>
    <n v="400"/>
    <n v="75000"/>
    <n v="25000"/>
  </r>
  <r>
    <s v="28-02-2020"/>
    <x v="0"/>
    <x v="3"/>
    <x v="0"/>
    <n v="148"/>
    <n v="3500"/>
    <n v="2500"/>
    <n v="518000"/>
    <n v="148000"/>
  </r>
  <r>
    <s v="21-01-2021"/>
    <x v="1"/>
    <x v="2"/>
    <x v="2"/>
    <n v="80"/>
    <n v="6000"/>
    <n v="4000"/>
    <n v="480000"/>
    <n v="160000"/>
  </r>
  <r>
    <s v="24-03-2021"/>
    <x v="4"/>
    <x v="2"/>
    <x v="3"/>
    <n v="57"/>
    <n v="600"/>
    <n v="400"/>
    <n v="34200"/>
    <n v="11400"/>
  </r>
  <r>
    <s v="11-05-2020"/>
    <x v="6"/>
    <x v="1"/>
    <x v="5"/>
    <n v="116"/>
    <n v="1000"/>
    <n v="700"/>
    <n v="116000"/>
    <n v="34800"/>
  </r>
  <r>
    <s v="01-04-2020"/>
    <x v="7"/>
    <x v="3"/>
    <x v="5"/>
    <n v="113"/>
    <n v="1000"/>
    <n v="700"/>
    <n v="113000"/>
    <n v="33900"/>
  </r>
  <r>
    <s v="26-12-2020"/>
    <x v="5"/>
    <x v="2"/>
    <x v="4"/>
    <n v="132"/>
    <n v="1200"/>
    <n v="800"/>
    <n v="158400"/>
    <n v="52800"/>
  </r>
  <r>
    <s v="06-02-2020"/>
    <x v="0"/>
    <x v="2"/>
    <x v="4"/>
    <n v="84"/>
    <n v="1200"/>
    <n v="800"/>
    <n v="100800"/>
    <n v="33600"/>
  </r>
  <r>
    <s v="26-08-2021"/>
    <x v="9"/>
    <x v="2"/>
    <x v="1"/>
    <n v="132"/>
    <n v="4000"/>
    <n v="3000"/>
    <n v="528000"/>
    <n v="132000"/>
  </r>
  <r>
    <s v="04-12-2020"/>
    <x v="8"/>
    <x v="2"/>
    <x v="6"/>
    <n v="105"/>
    <n v="10000"/>
    <n v="7000"/>
    <n v="1050000"/>
    <n v="315000"/>
  </r>
  <r>
    <s v="17-03-2020"/>
    <x v="1"/>
    <x v="2"/>
    <x v="3"/>
    <n v="111"/>
    <n v="600"/>
    <n v="400"/>
    <n v="66600"/>
    <n v="22200"/>
  </r>
  <r>
    <s v="20-05-2020"/>
    <x v="5"/>
    <x v="3"/>
    <x v="4"/>
    <n v="128"/>
    <n v="1200"/>
    <n v="800"/>
    <n v="153600"/>
    <n v="51200"/>
  </r>
  <r>
    <s v="21-02-2020"/>
    <x v="2"/>
    <x v="3"/>
    <x v="6"/>
    <n v="108"/>
    <n v="10000"/>
    <n v="7000"/>
    <n v="1080000"/>
    <n v="324000"/>
  </r>
  <r>
    <s v="08-07-2020"/>
    <x v="3"/>
    <x v="0"/>
    <x v="4"/>
    <n v="104"/>
    <n v="1200"/>
    <n v="800"/>
    <n v="124800"/>
    <n v="41600"/>
  </r>
  <r>
    <s v="03-04-2021"/>
    <x v="4"/>
    <x v="1"/>
    <x v="5"/>
    <n v="116"/>
    <n v="1000"/>
    <n v="700"/>
    <n v="116000"/>
    <n v="34800"/>
  </r>
  <r>
    <s v="13-03-2021"/>
    <x v="1"/>
    <x v="2"/>
    <x v="0"/>
    <n v="90"/>
    <n v="3500"/>
    <n v="2500"/>
    <n v="315000"/>
    <n v="90000"/>
  </r>
  <r>
    <s v="12-07-2021"/>
    <x v="6"/>
    <x v="2"/>
    <x v="5"/>
    <n v="81"/>
    <n v="1000"/>
    <n v="700"/>
    <n v="81000"/>
    <n v="24300"/>
  </r>
  <r>
    <s v="31-01-2021"/>
    <x v="4"/>
    <x v="3"/>
    <x v="0"/>
    <n v="111"/>
    <n v="3500"/>
    <n v="2500"/>
    <n v="388500"/>
    <n v="111000"/>
  </r>
  <r>
    <s v="12-06-2020"/>
    <x v="0"/>
    <x v="1"/>
    <x v="5"/>
    <n v="64"/>
    <n v="1000"/>
    <n v="700"/>
    <n v="64000"/>
    <n v="19200"/>
  </r>
  <r>
    <s v="03-08-2021"/>
    <x v="6"/>
    <x v="2"/>
    <x v="6"/>
    <n v="90"/>
    <n v="10000"/>
    <n v="7000"/>
    <n v="900000"/>
    <n v="270000"/>
  </r>
  <r>
    <s v="07-10-2021"/>
    <x v="2"/>
    <x v="2"/>
    <x v="1"/>
    <n v="71"/>
    <n v="4000"/>
    <n v="3000"/>
    <n v="284000"/>
    <n v="71000"/>
  </r>
  <r>
    <s v="27-02-2021"/>
    <x v="3"/>
    <x v="3"/>
    <x v="1"/>
    <n v="113"/>
    <n v="4000"/>
    <n v="3000"/>
    <n v="452000"/>
    <n v="113000"/>
  </r>
  <r>
    <s v="26-03-2021"/>
    <x v="8"/>
    <x v="0"/>
    <x v="3"/>
    <n v="97"/>
    <n v="600"/>
    <n v="400"/>
    <n v="58200"/>
    <n v="19400"/>
  </r>
  <r>
    <s v="10-01-2021"/>
    <x v="8"/>
    <x v="1"/>
    <x v="0"/>
    <n v="143"/>
    <n v="3500"/>
    <n v="2500"/>
    <n v="500500"/>
    <n v="143000"/>
  </r>
  <r>
    <s v="16-05-2020"/>
    <x v="2"/>
    <x v="1"/>
    <x v="4"/>
    <n v="64"/>
    <n v="1200"/>
    <n v="800"/>
    <n v="76800"/>
    <n v="25600"/>
  </r>
  <r>
    <s v="08-12-2021"/>
    <x v="4"/>
    <x v="1"/>
    <x v="5"/>
    <n v="138"/>
    <n v="1000"/>
    <n v="700"/>
    <n v="138000"/>
    <n v="41400"/>
  </r>
  <r>
    <s v="29-01-2020"/>
    <x v="5"/>
    <x v="3"/>
    <x v="2"/>
    <n v="148"/>
    <n v="6000"/>
    <n v="4000"/>
    <n v="888000"/>
    <n v="296000"/>
  </r>
  <r>
    <s v="17-11-2021"/>
    <x v="9"/>
    <x v="2"/>
    <x v="3"/>
    <n v="50"/>
    <n v="600"/>
    <n v="400"/>
    <n v="30000"/>
    <n v="10000"/>
  </r>
  <r>
    <s v="07-07-2021"/>
    <x v="1"/>
    <x v="0"/>
    <x v="0"/>
    <n v="111"/>
    <n v="3500"/>
    <n v="2500"/>
    <n v="388500"/>
    <n v="111000"/>
  </r>
  <r>
    <s v="11-04-2020"/>
    <x v="0"/>
    <x v="0"/>
    <x v="0"/>
    <n v="66"/>
    <n v="3500"/>
    <n v="2500"/>
    <n v="231000"/>
    <n v="66000"/>
  </r>
  <r>
    <s v="05-04-2021"/>
    <x v="1"/>
    <x v="0"/>
    <x v="1"/>
    <n v="143"/>
    <n v="4000"/>
    <n v="3000"/>
    <n v="572000"/>
    <n v="143000"/>
  </r>
  <r>
    <s v="08-03-2020"/>
    <x v="8"/>
    <x v="3"/>
    <x v="5"/>
    <n v="85"/>
    <n v="1000"/>
    <n v="700"/>
    <n v="85000"/>
    <n v="25500"/>
  </r>
  <r>
    <s v="28-02-2020"/>
    <x v="8"/>
    <x v="2"/>
    <x v="6"/>
    <n v="69"/>
    <n v="10000"/>
    <n v="7000"/>
    <n v="690000"/>
    <n v="207000"/>
  </r>
  <r>
    <s v="10-02-2020"/>
    <x v="5"/>
    <x v="1"/>
    <x v="6"/>
    <n v="88"/>
    <n v="10000"/>
    <n v="7000"/>
    <n v="880000"/>
    <n v="264000"/>
  </r>
  <r>
    <s v="24-01-2021"/>
    <x v="6"/>
    <x v="2"/>
    <x v="6"/>
    <n v="145"/>
    <n v="10000"/>
    <n v="7000"/>
    <n v="1450000"/>
    <n v="435000"/>
  </r>
  <r>
    <s v="17-02-2020"/>
    <x v="1"/>
    <x v="0"/>
    <x v="2"/>
    <n v="137"/>
    <n v="6000"/>
    <n v="4000"/>
    <n v="822000"/>
    <n v="274000"/>
  </r>
  <r>
    <s v="12-06-2020"/>
    <x v="4"/>
    <x v="1"/>
    <x v="3"/>
    <n v="137"/>
    <n v="600"/>
    <n v="400"/>
    <n v="82200"/>
    <n v="27400"/>
  </r>
  <r>
    <s v="29-10-2021"/>
    <x v="2"/>
    <x v="1"/>
    <x v="0"/>
    <n v="84"/>
    <n v="3500"/>
    <n v="2500"/>
    <n v="294000"/>
    <n v="84000"/>
  </r>
  <r>
    <s v="12-03-2021"/>
    <x v="4"/>
    <x v="3"/>
    <x v="6"/>
    <n v="65"/>
    <n v="10000"/>
    <n v="7000"/>
    <n v="650000"/>
    <n v="195000"/>
  </r>
  <r>
    <s v="25-01-2020"/>
    <x v="0"/>
    <x v="1"/>
    <x v="2"/>
    <n v="57"/>
    <n v="6000"/>
    <n v="4000"/>
    <n v="342000"/>
    <n v="114000"/>
  </r>
  <r>
    <s v="29-12-2020"/>
    <x v="8"/>
    <x v="2"/>
    <x v="3"/>
    <n v="86"/>
    <n v="600"/>
    <n v="400"/>
    <n v="51600"/>
    <n v="17200"/>
  </r>
  <r>
    <s v="09-02-2020"/>
    <x v="2"/>
    <x v="1"/>
    <x v="2"/>
    <n v="118"/>
    <n v="6000"/>
    <n v="4000"/>
    <n v="708000"/>
    <n v="236000"/>
  </r>
  <r>
    <s v="16-07-2021"/>
    <x v="3"/>
    <x v="3"/>
    <x v="6"/>
    <n v="132"/>
    <n v="10000"/>
    <n v="7000"/>
    <n v="1320000"/>
    <n v="396000"/>
  </r>
  <r>
    <s v="10-04-2021"/>
    <x v="9"/>
    <x v="0"/>
    <x v="5"/>
    <n v="102"/>
    <n v="1000"/>
    <n v="700"/>
    <n v="102000"/>
    <n v="30600"/>
  </r>
  <r>
    <s v="08-07-2020"/>
    <x v="4"/>
    <x v="2"/>
    <x v="5"/>
    <n v="121"/>
    <n v="1000"/>
    <n v="700"/>
    <n v="121000"/>
    <n v="36300"/>
  </r>
  <r>
    <s v="13-03-2020"/>
    <x v="0"/>
    <x v="0"/>
    <x v="0"/>
    <n v="122"/>
    <n v="3500"/>
    <n v="2500"/>
    <n v="427000"/>
    <n v="122000"/>
  </r>
  <r>
    <s v="01-04-2021"/>
    <x v="0"/>
    <x v="3"/>
    <x v="1"/>
    <n v="128"/>
    <n v="4000"/>
    <n v="3000"/>
    <n v="512000"/>
    <n v="128000"/>
  </r>
  <r>
    <s v="04-11-2021"/>
    <x v="8"/>
    <x v="3"/>
    <x v="1"/>
    <n v="134"/>
    <n v="4000"/>
    <n v="3000"/>
    <n v="536000"/>
    <n v="134000"/>
  </r>
  <r>
    <s v="13-01-2021"/>
    <x v="5"/>
    <x v="2"/>
    <x v="2"/>
    <n v="135"/>
    <n v="6000"/>
    <n v="4000"/>
    <n v="810000"/>
    <n v="270000"/>
  </r>
  <r>
    <s v="16-10-2021"/>
    <x v="3"/>
    <x v="1"/>
    <x v="3"/>
    <n v="99"/>
    <n v="600"/>
    <n v="400"/>
    <n v="59400"/>
    <n v="19800"/>
  </r>
  <r>
    <s v="30-11-2021"/>
    <x v="9"/>
    <x v="1"/>
    <x v="5"/>
    <n v="120"/>
    <n v="1000"/>
    <n v="700"/>
    <n v="120000"/>
    <n v="36000"/>
  </r>
  <r>
    <s v="18-09-2021"/>
    <x v="2"/>
    <x v="0"/>
    <x v="1"/>
    <n v="77"/>
    <n v="4000"/>
    <n v="3000"/>
    <n v="308000"/>
    <n v="77000"/>
  </r>
  <r>
    <s v="19-10-2020"/>
    <x v="1"/>
    <x v="2"/>
    <x v="4"/>
    <n v="88"/>
    <n v="1200"/>
    <n v="800"/>
    <n v="105600"/>
    <n v="35200"/>
  </r>
  <r>
    <s v="14-10-2020"/>
    <x v="8"/>
    <x v="1"/>
    <x v="1"/>
    <n v="134"/>
    <n v="4000"/>
    <n v="3000"/>
    <n v="536000"/>
    <n v="134000"/>
  </r>
  <r>
    <s v="10-10-2021"/>
    <x v="2"/>
    <x v="0"/>
    <x v="2"/>
    <n v="70"/>
    <n v="6000"/>
    <n v="4000"/>
    <n v="420000"/>
    <n v="140000"/>
  </r>
  <r>
    <s v="24-05-2020"/>
    <x v="9"/>
    <x v="0"/>
    <x v="6"/>
    <n v="116"/>
    <n v="10000"/>
    <n v="7000"/>
    <n v="1160000"/>
    <n v="348000"/>
  </r>
  <r>
    <s v="15-11-2020"/>
    <x v="6"/>
    <x v="2"/>
    <x v="0"/>
    <n v="102"/>
    <n v="3500"/>
    <n v="2500"/>
    <n v="357000"/>
    <n v="102000"/>
  </r>
  <r>
    <s v="15-02-2021"/>
    <x v="1"/>
    <x v="0"/>
    <x v="5"/>
    <n v="75"/>
    <n v="1000"/>
    <n v="700"/>
    <n v="75000"/>
    <n v="22500"/>
  </r>
  <r>
    <s v="28-09-2020"/>
    <x v="4"/>
    <x v="3"/>
    <x v="1"/>
    <n v="139"/>
    <n v="4000"/>
    <n v="3000"/>
    <n v="556000"/>
    <n v="139000"/>
  </r>
  <r>
    <s v="11-09-2021"/>
    <x v="6"/>
    <x v="2"/>
    <x v="2"/>
    <n v="122"/>
    <n v="6000"/>
    <n v="4000"/>
    <n v="732000"/>
    <n v="244000"/>
  </r>
  <r>
    <s v="15-03-2021"/>
    <x v="3"/>
    <x v="2"/>
    <x v="0"/>
    <n v="126"/>
    <n v="3500"/>
    <n v="2500"/>
    <n v="441000"/>
    <n v="126000"/>
  </r>
  <r>
    <s v="29-05-2021"/>
    <x v="9"/>
    <x v="0"/>
    <x v="5"/>
    <n v="53"/>
    <n v="1000"/>
    <n v="700"/>
    <n v="53000"/>
    <n v="15900"/>
  </r>
  <r>
    <s v="05-07-2021"/>
    <x v="3"/>
    <x v="0"/>
    <x v="3"/>
    <n v="56"/>
    <n v="600"/>
    <n v="400"/>
    <n v="33600"/>
    <n v="11200"/>
  </r>
  <r>
    <s v="11-11-2020"/>
    <x v="1"/>
    <x v="2"/>
    <x v="4"/>
    <n v="81"/>
    <n v="1200"/>
    <n v="800"/>
    <n v="97200"/>
    <n v="32400"/>
  </r>
  <r>
    <s v="02-08-2020"/>
    <x v="7"/>
    <x v="3"/>
    <x v="2"/>
    <n v="100"/>
    <n v="6000"/>
    <n v="4000"/>
    <n v="600000"/>
    <n v="200000"/>
  </r>
  <r>
    <s v="30-11-2020"/>
    <x v="9"/>
    <x v="0"/>
    <x v="3"/>
    <n v="112"/>
    <n v="600"/>
    <n v="400"/>
    <n v="67200"/>
    <n v="22400"/>
  </r>
  <r>
    <s v="08-07-2021"/>
    <x v="3"/>
    <x v="2"/>
    <x v="3"/>
    <n v="116"/>
    <n v="600"/>
    <n v="400"/>
    <n v="69600"/>
    <n v="23200"/>
  </r>
  <r>
    <s v="15-02-2021"/>
    <x v="7"/>
    <x v="0"/>
    <x v="6"/>
    <n v="123"/>
    <n v="10000"/>
    <n v="7000"/>
    <n v="1230000"/>
    <n v="369000"/>
  </r>
  <r>
    <s v="21-06-2020"/>
    <x v="3"/>
    <x v="2"/>
    <x v="2"/>
    <n v="129"/>
    <n v="6000"/>
    <n v="4000"/>
    <n v="774000"/>
    <n v="258000"/>
  </r>
  <r>
    <s v="13-09-2021"/>
    <x v="5"/>
    <x v="3"/>
    <x v="2"/>
    <n v="76"/>
    <n v="6000"/>
    <n v="4000"/>
    <n v="456000"/>
    <n v="152000"/>
  </r>
  <r>
    <s v="12-06-2020"/>
    <x v="1"/>
    <x v="1"/>
    <x v="6"/>
    <n v="94"/>
    <n v="10000"/>
    <n v="7000"/>
    <n v="940000"/>
    <n v="282000"/>
  </r>
  <r>
    <s v="22-01-2021"/>
    <x v="4"/>
    <x v="3"/>
    <x v="4"/>
    <n v="127"/>
    <n v="1200"/>
    <n v="800"/>
    <n v="152400"/>
    <n v="50800"/>
  </r>
  <r>
    <s v="09-01-2020"/>
    <x v="8"/>
    <x v="3"/>
    <x v="3"/>
    <n v="136"/>
    <n v="600"/>
    <n v="400"/>
    <n v="81600"/>
    <n v="27200"/>
  </r>
  <r>
    <s v="25-06-2020"/>
    <x v="7"/>
    <x v="1"/>
    <x v="0"/>
    <n v="70"/>
    <n v="3500"/>
    <n v="2500"/>
    <n v="245000"/>
    <n v="70000"/>
  </r>
  <r>
    <s v="29-03-2021"/>
    <x v="5"/>
    <x v="0"/>
    <x v="4"/>
    <n v="90"/>
    <n v="1200"/>
    <n v="800"/>
    <n v="108000"/>
    <n v="36000"/>
  </r>
  <r>
    <s v="19-01-2021"/>
    <x v="7"/>
    <x v="0"/>
    <x v="1"/>
    <n v="96"/>
    <n v="4000"/>
    <n v="3000"/>
    <n v="384000"/>
    <n v="96000"/>
  </r>
  <r>
    <s v="16-10-2020"/>
    <x v="7"/>
    <x v="2"/>
    <x v="1"/>
    <n v="133"/>
    <n v="4000"/>
    <n v="3000"/>
    <n v="532000"/>
    <n v="133000"/>
  </r>
  <r>
    <s v="23-01-2020"/>
    <x v="0"/>
    <x v="3"/>
    <x v="1"/>
    <n v="62"/>
    <n v="4000"/>
    <n v="3000"/>
    <n v="248000"/>
    <n v="62000"/>
  </r>
  <r>
    <s v="03-01-2020"/>
    <x v="2"/>
    <x v="0"/>
    <x v="2"/>
    <n v="101"/>
    <n v="6000"/>
    <n v="4000"/>
    <n v="606000"/>
    <n v="202000"/>
  </r>
  <r>
    <s v="04-11-2020"/>
    <x v="2"/>
    <x v="2"/>
    <x v="4"/>
    <n v="95"/>
    <n v="1200"/>
    <n v="800"/>
    <n v="114000"/>
    <n v="38000"/>
  </r>
  <r>
    <s v="17-05-2021"/>
    <x v="8"/>
    <x v="0"/>
    <x v="0"/>
    <n v="106"/>
    <n v="3500"/>
    <n v="2500"/>
    <n v="371000"/>
    <n v="106000"/>
  </r>
  <r>
    <s v="30-08-2021"/>
    <x v="6"/>
    <x v="1"/>
    <x v="3"/>
    <n v="107"/>
    <n v="600"/>
    <n v="400"/>
    <n v="64200"/>
    <n v="21400"/>
  </r>
  <r>
    <s v="22-10-2021"/>
    <x v="2"/>
    <x v="0"/>
    <x v="3"/>
    <n v="86"/>
    <n v="600"/>
    <n v="400"/>
    <n v="51600"/>
    <n v="17200"/>
  </r>
  <r>
    <s v="18-06-2020"/>
    <x v="0"/>
    <x v="1"/>
    <x v="5"/>
    <n v="126"/>
    <n v="1000"/>
    <n v="700"/>
    <n v="126000"/>
    <n v="37800"/>
  </r>
  <r>
    <s v="17-03-2020"/>
    <x v="8"/>
    <x v="3"/>
    <x v="6"/>
    <n v="144"/>
    <n v="10000"/>
    <n v="7000"/>
    <n v="1440000"/>
    <n v="432000"/>
  </r>
  <r>
    <s v="20-05-2020"/>
    <x v="6"/>
    <x v="1"/>
    <x v="0"/>
    <n v="54"/>
    <n v="3500"/>
    <n v="2500"/>
    <n v="189000"/>
    <n v="54000"/>
  </r>
  <r>
    <s v="03-10-2020"/>
    <x v="1"/>
    <x v="1"/>
    <x v="2"/>
    <n v="74"/>
    <n v="6000"/>
    <n v="4000"/>
    <n v="444000"/>
    <n v="148000"/>
  </r>
  <r>
    <s v="26-12-2021"/>
    <x v="0"/>
    <x v="2"/>
    <x v="2"/>
    <n v="81"/>
    <n v="6000"/>
    <n v="4000"/>
    <n v="486000"/>
    <n v="162000"/>
  </r>
  <r>
    <s v="11-01-2021"/>
    <x v="6"/>
    <x v="1"/>
    <x v="2"/>
    <n v="88"/>
    <n v="6000"/>
    <n v="4000"/>
    <n v="528000"/>
    <n v="176000"/>
  </r>
  <r>
    <s v="17-12-2021"/>
    <x v="9"/>
    <x v="2"/>
    <x v="1"/>
    <n v="63"/>
    <n v="4000"/>
    <n v="3000"/>
    <n v="252000"/>
    <n v="63000"/>
  </r>
  <r>
    <s v="23-09-2021"/>
    <x v="1"/>
    <x v="2"/>
    <x v="2"/>
    <n v="125"/>
    <n v="6000"/>
    <n v="4000"/>
    <n v="750000"/>
    <n v="250000"/>
  </r>
  <r>
    <s v="07-07-2021"/>
    <x v="9"/>
    <x v="2"/>
    <x v="1"/>
    <n v="97"/>
    <n v="4000"/>
    <n v="3000"/>
    <n v="388000"/>
    <n v="97000"/>
  </r>
  <r>
    <s v="28-05-2021"/>
    <x v="9"/>
    <x v="1"/>
    <x v="3"/>
    <n v="128"/>
    <n v="600"/>
    <n v="400"/>
    <n v="76800"/>
    <n v="25600"/>
  </r>
  <r>
    <s v="01-04-2021"/>
    <x v="7"/>
    <x v="0"/>
    <x v="6"/>
    <n v="90"/>
    <n v="10000"/>
    <n v="7000"/>
    <n v="900000"/>
    <n v="270000"/>
  </r>
  <r>
    <s v="24-11-2021"/>
    <x v="3"/>
    <x v="3"/>
    <x v="3"/>
    <n v="60"/>
    <n v="600"/>
    <n v="400"/>
    <n v="36000"/>
    <n v="12000"/>
  </r>
  <r>
    <s v="11-05-2021"/>
    <x v="8"/>
    <x v="3"/>
    <x v="0"/>
    <n v="85"/>
    <n v="3500"/>
    <n v="2500"/>
    <n v="297500"/>
    <n v="85000"/>
  </r>
  <r>
    <s v="10-10-2020"/>
    <x v="2"/>
    <x v="2"/>
    <x v="3"/>
    <n v="71"/>
    <n v="600"/>
    <n v="400"/>
    <n v="42600"/>
    <n v="14200"/>
  </r>
  <r>
    <s v="09-09-2021"/>
    <x v="1"/>
    <x v="3"/>
    <x v="3"/>
    <n v="63"/>
    <n v="600"/>
    <n v="400"/>
    <n v="37800"/>
    <n v="12600"/>
  </r>
  <r>
    <s v="22-08-2021"/>
    <x v="1"/>
    <x v="3"/>
    <x v="3"/>
    <n v="150"/>
    <n v="600"/>
    <n v="400"/>
    <n v="90000"/>
    <n v="30000"/>
  </r>
  <r>
    <s v="17-07-2020"/>
    <x v="5"/>
    <x v="1"/>
    <x v="5"/>
    <n v="60"/>
    <n v="1000"/>
    <n v="700"/>
    <n v="60000"/>
    <n v="18000"/>
  </r>
  <r>
    <s v="29-02-2020"/>
    <x v="3"/>
    <x v="0"/>
    <x v="1"/>
    <n v="97"/>
    <n v="4000"/>
    <n v="3000"/>
    <n v="388000"/>
    <n v="97000"/>
  </r>
  <r>
    <s v="15-01-2020"/>
    <x v="6"/>
    <x v="0"/>
    <x v="3"/>
    <n v="115"/>
    <n v="600"/>
    <n v="400"/>
    <n v="69000"/>
    <n v="23000"/>
  </r>
  <r>
    <s v="02-09-2020"/>
    <x v="9"/>
    <x v="3"/>
    <x v="3"/>
    <n v="147"/>
    <n v="600"/>
    <n v="400"/>
    <n v="88200"/>
    <n v="29400"/>
  </r>
  <r>
    <s v="16-01-2021"/>
    <x v="1"/>
    <x v="1"/>
    <x v="5"/>
    <n v="84"/>
    <n v="1000"/>
    <n v="700"/>
    <n v="84000"/>
    <n v="25200"/>
  </r>
  <r>
    <s v="11-09-2021"/>
    <x v="3"/>
    <x v="0"/>
    <x v="0"/>
    <n v="108"/>
    <n v="3500"/>
    <n v="2500"/>
    <n v="378000"/>
    <n v="108000"/>
  </r>
  <r>
    <s v="31-01-2020"/>
    <x v="2"/>
    <x v="3"/>
    <x v="1"/>
    <n v="95"/>
    <n v="4000"/>
    <n v="3000"/>
    <n v="380000"/>
    <n v="95000"/>
  </r>
  <r>
    <s v="08-02-2020"/>
    <x v="9"/>
    <x v="0"/>
    <x v="2"/>
    <n v="111"/>
    <n v="6000"/>
    <n v="4000"/>
    <n v="666000"/>
    <n v="222000"/>
  </r>
  <r>
    <s v="12-05-2021"/>
    <x v="7"/>
    <x v="0"/>
    <x v="4"/>
    <n v="66"/>
    <n v="1200"/>
    <n v="800"/>
    <n v="79200"/>
    <n v="26400"/>
  </r>
  <r>
    <s v="31-01-2021"/>
    <x v="9"/>
    <x v="2"/>
    <x v="0"/>
    <n v="64"/>
    <n v="3500"/>
    <n v="2500"/>
    <n v="224000"/>
    <n v="64000"/>
  </r>
  <r>
    <s v="14-03-2021"/>
    <x v="8"/>
    <x v="3"/>
    <x v="6"/>
    <n v="113"/>
    <n v="10000"/>
    <n v="7000"/>
    <n v="1130000"/>
    <n v="339000"/>
  </r>
  <r>
    <s v="26-10-2021"/>
    <x v="8"/>
    <x v="1"/>
    <x v="0"/>
    <n v="133"/>
    <n v="3500"/>
    <n v="2500"/>
    <n v="465500"/>
    <n v="133000"/>
  </r>
  <r>
    <s v="27-03-2020"/>
    <x v="5"/>
    <x v="0"/>
    <x v="5"/>
    <n v="104"/>
    <n v="1000"/>
    <n v="700"/>
    <n v="104000"/>
    <n v="31200"/>
  </r>
  <r>
    <s v="07-08-2021"/>
    <x v="8"/>
    <x v="1"/>
    <x v="2"/>
    <n v="150"/>
    <n v="6000"/>
    <n v="4000"/>
    <n v="900000"/>
    <n v="300000"/>
  </r>
  <r>
    <s v="17-02-2021"/>
    <x v="4"/>
    <x v="1"/>
    <x v="1"/>
    <n v="139"/>
    <n v="4000"/>
    <n v="3000"/>
    <n v="556000"/>
    <n v="139000"/>
  </r>
  <r>
    <s v="23-02-2020"/>
    <x v="1"/>
    <x v="3"/>
    <x v="4"/>
    <n v="103"/>
    <n v="1200"/>
    <n v="800"/>
    <n v="123600"/>
    <n v="41200"/>
  </r>
  <r>
    <s v="18-05-2021"/>
    <x v="5"/>
    <x v="1"/>
    <x v="4"/>
    <n v="82"/>
    <n v="1200"/>
    <n v="800"/>
    <n v="98400"/>
    <n v="32800"/>
  </r>
  <r>
    <s v="16-03-2021"/>
    <x v="7"/>
    <x v="2"/>
    <x v="0"/>
    <n v="92"/>
    <n v="3500"/>
    <n v="2500"/>
    <n v="322000"/>
    <n v="92000"/>
  </r>
  <r>
    <s v="01-10-2021"/>
    <x v="9"/>
    <x v="1"/>
    <x v="0"/>
    <n v="143"/>
    <n v="3500"/>
    <n v="2500"/>
    <n v="500500"/>
    <n v="143000"/>
  </r>
  <r>
    <s v="25-02-2020"/>
    <x v="6"/>
    <x v="3"/>
    <x v="5"/>
    <n v="98"/>
    <n v="1000"/>
    <n v="700"/>
    <n v="98000"/>
    <n v="29400"/>
  </r>
  <r>
    <s v="06-08-2021"/>
    <x v="9"/>
    <x v="1"/>
    <x v="6"/>
    <n v="75"/>
    <n v="10000"/>
    <n v="7000"/>
    <n v="750000"/>
    <n v="225000"/>
  </r>
  <r>
    <s v="16-04-2020"/>
    <x v="9"/>
    <x v="3"/>
    <x v="6"/>
    <n v="112"/>
    <n v="10000"/>
    <n v="7000"/>
    <n v="1120000"/>
    <n v="336000"/>
  </r>
  <r>
    <s v="17-02-2020"/>
    <x v="4"/>
    <x v="2"/>
    <x v="6"/>
    <n v="90"/>
    <n v="10000"/>
    <n v="7000"/>
    <n v="900000"/>
    <n v="270000"/>
  </r>
  <r>
    <s v="25-10-2021"/>
    <x v="0"/>
    <x v="0"/>
    <x v="5"/>
    <n v="89"/>
    <n v="1000"/>
    <n v="700"/>
    <n v="89000"/>
    <n v="26700"/>
  </r>
  <r>
    <s v="04-09-2021"/>
    <x v="9"/>
    <x v="3"/>
    <x v="1"/>
    <n v="68"/>
    <n v="4000"/>
    <n v="3000"/>
    <n v="272000"/>
    <n v="68000"/>
  </r>
  <r>
    <s v="14-10-2021"/>
    <x v="3"/>
    <x v="1"/>
    <x v="0"/>
    <n v="55"/>
    <n v="3500"/>
    <n v="2500"/>
    <n v="192500"/>
    <n v="55000"/>
  </r>
  <r>
    <s v="29-07-2020"/>
    <x v="8"/>
    <x v="0"/>
    <x v="5"/>
    <n v="99"/>
    <n v="1000"/>
    <n v="700"/>
    <n v="99000"/>
    <n v="29700"/>
  </r>
  <r>
    <s v="24-08-2021"/>
    <x v="6"/>
    <x v="1"/>
    <x v="0"/>
    <n v="127"/>
    <n v="3500"/>
    <n v="2500"/>
    <n v="444500"/>
    <n v="127000"/>
  </r>
  <r>
    <s v="28-03-2020"/>
    <x v="1"/>
    <x v="0"/>
    <x v="5"/>
    <n v="95"/>
    <n v="1000"/>
    <n v="700"/>
    <n v="95000"/>
    <n v="28500"/>
  </r>
  <r>
    <s v="17-08-2021"/>
    <x v="3"/>
    <x v="0"/>
    <x v="4"/>
    <n v="87"/>
    <n v="1200"/>
    <n v="800"/>
    <n v="104400"/>
    <n v="34800"/>
  </r>
  <r>
    <s v="02-04-2021"/>
    <x v="2"/>
    <x v="3"/>
    <x v="3"/>
    <n v="137"/>
    <n v="600"/>
    <n v="400"/>
    <n v="82200"/>
    <n v="27400"/>
  </r>
  <r>
    <s v="31-12-2021"/>
    <x v="2"/>
    <x v="1"/>
    <x v="3"/>
    <n v="146"/>
    <n v="600"/>
    <n v="400"/>
    <n v="87600"/>
    <n v="29200"/>
  </r>
  <r>
    <s v="10-11-2020"/>
    <x v="6"/>
    <x v="3"/>
    <x v="4"/>
    <n v="113"/>
    <n v="1200"/>
    <n v="800"/>
    <n v="135600"/>
    <n v="45200"/>
  </r>
  <r>
    <s v="14-12-2021"/>
    <x v="8"/>
    <x v="2"/>
    <x v="5"/>
    <n v="110"/>
    <n v="1000"/>
    <n v="700"/>
    <n v="110000"/>
    <n v="33000"/>
  </r>
  <r>
    <s v="06-11-2020"/>
    <x v="5"/>
    <x v="0"/>
    <x v="0"/>
    <n v="148"/>
    <n v="3500"/>
    <n v="2500"/>
    <n v="518000"/>
    <n v="148000"/>
  </r>
  <r>
    <s v="23-10-2020"/>
    <x v="1"/>
    <x v="2"/>
    <x v="2"/>
    <n v="85"/>
    <n v="6000"/>
    <n v="4000"/>
    <n v="510000"/>
    <n v="170000"/>
  </r>
  <r>
    <s v="03-07-2020"/>
    <x v="9"/>
    <x v="2"/>
    <x v="4"/>
    <n v="92"/>
    <n v="1200"/>
    <n v="800"/>
    <n v="110400"/>
    <n v="36800"/>
  </r>
  <r>
    <s v="21-06-2020"/>
    <x v="6"/>
    <x v="1"/>
    <x v="1"/>
    <n v="105"/>
    <n v="4000"/>
    <n v="3000"/>
    <n v="420000"/>
    <n v="105000"/>
  </r>
  <r>
    <s v="26-03-2021"/>
    <x v="3"/>
    <x v="0"/>
    <x v="4"/>
    <n v="109"/>
    <n v="1200"/>
    <n v="800"/>
    <n v="130800"/>
    <n v="43600"/>
  </r>
  <r>
    <s v="28-06-2020"/>
    <x v="2"/>
    <x v="2"/>
    <x v="1"/>
    <n v="125"/>
    <n v="4000"/>
    <n v="3000"/>
    <n v="500000"/>
    <n v="125000"/>
  </r>
  <r>
    <s v="25-07-2021"/>
    <x v="1"/>
    <x v="3"/>
    <x v="1"/>
    <n v="147"/>
    <n v="4000"/>
    <n v="3000"/>
    <n v="588000"/>
    <n v="147000"/>
  </r>
  <r>
    <s v="28-02-2021"/>
    <x v="4"/>
    <x v="0"/>
    <x v="0"/>
    <n v="80"/>
    <n v="3500"/>
    <n v="2500"/>
    <n v="280000"/>
    <n v="80000"/>
  </r>
  <r>
    <s v="12-06-2020"/>
    <x v="1"/>
    <x v="1"/>
    <x v="1"/>
    <n v="102"/>
    <n v="4000"/>
    <n v="3000"/>
    <n v="408000"/>
    <n v="102000"/>
  </r>
  <r>
    <s v="29-08-2021"/>
    <x v="5"/>
    <x v="2"/>
    <x v="2"/>
    <n v="118"/>
    <n v="6000"/>
    <n v="4000"/>
    <n v="708000"/>
    <n v="236000"/>
  </r>
  <r>
    <s v="06-06-2020"/>
    <x v="7"/>
    <x v="0"/>
    <x v="0"/>
    <n v="108"/>
    <n v="3500"/>
    <n v="2500"/>
    <n v="378000"/>
    <n v="108000"/>
  </r>
  <r>
    <s v="18-06-2020"/>
    <x v="2"/>
    <x v="2"/>
    <x v="3"/>
    <n v="88"/>
    <n v="600"/>
    <n v="400"/>
    <n v="52800"/>
    <n v="17600"/>
  </r>
  <r>
    <s v="27-08-2021"/>
    <x v="7"/>
    <x v="1"/>
    <x v="4"/>
    <n v="132"/>
    <n v="1200"/>
    <n v="800"/>
    <n v="158400"/>
    <n v="52800"/>
  </r>
  <r>
    <s v="20-06-2021"/>
    <x v="4"/>
    <x v="3"/>
    <x v="3"/>
    <n v="111"/>
    <n v="600"/>
    <n v="400"/>
    <n v="66600"/>
    <n v="22200"/>
  </r>
  <r>
    <s v="25-01-2020"/>
    <x v="2"/>
    <x v="0"/>
    <x v="6"/>
    <n v="59"/>
    <n v="10000"/>
    <n v="7000"/>
    <n v="590000"/>
    <n v="177000"/>
  </r>
  <r>
    <s v="02-05-2021"/>
    <x v="5"/>
    <x v="0"/>
    <x v="6"/>
    <n v="65"/>
    <n v="10000"/>
    <n v="7000"/>
    <n v="650000"/>
    <n v="195000"/>
  </r>
  <r>
    <s v="18-02-2020"/>
    <x v="0"/>
    <x v="3"/>
    <x v="0"/>
    <n v="140"/>
    <n v="3500"/>
    <n v="2500"/>
    <n v="490000"/>
    <n v="140000"/>
  </r>
  <r>
    <s v="24-06-2021"/>
    <x v="8"/>
    <x v="1"/>
    <x v="0"/>
    <n v="125"/>
    <n v="3500"/>
    <n v="2500"/>
    <n v="437500"/>
    <n v="125000"/>
  </r>
  <r>
    <s v="19-11-2020"/>
    <x v="2"/>
    <x v="0"/>
    <x v="2"/>
    <n v="81"/>
    <n v="6000"/>
    <n v="4000"/>
    <n v="486000"/>
    <n v="162000"/>
  </r>
  <r>
    <s v="15-09-2020"/>
    <x v="3"/>
    <x v="1"/>
    <x v="6"/>
    <n v="78"/>
    <n v="10000"/>
    <n v="7000"/>
    <n v="780000"/>
    <n v="234000"/>
  </r>
  <r>
    <s v="27-12-2020"/>
    <x v="8"/>
    <x v="0"/>
    <x v="2"/>
    <n v="66"/>
    <n v="6000"/>
    <n v="4000"/>
    <n v="396000"/>
    <n v="132000"/>
  </r>
  <r>
    <s v="14-08-2021"/>
    <x v="7"/>
    <x v="2"/>
    <x v="1"/>
    <n v="87"/>
    <n v="4000"/>
    <n v="3000"/>
    <n v="348000"/>
    <n v="87000"/>
  </r>
  <r>
    <s v="22-10-2021"/>
    <x v="7"/>
    <x v="2"/>
    <x v="1"/>
    <n v="55"/>
    <n v="4000"/>
    <n v="3000"/>
    <n v="220000"/>
    <n v="55000"/>
  </r>
  <r>
    <s v="01-05-2021"/>
    <x v="1"/>
    <x v="3"/>
    <x v="1"/>
    <n v="104"/>
    <n v="4000"/>
    <n v="3000"/>
    <n v="416000"/>
    <n v="104000"/>
  </r>
  <r>
    <s v="22-10-2021"/>
    <x v="6"/>
    <x v="0"/>
    <x v="6"/>
    <n v="74"/>
    <n v="10000"/>
    <n v="7000"/>
    <n v="740000"/>
    <n v="222000"/>
  </r>
  <r>
    <s v="18-03-2021"/>
    <x v="6"/>
    <x v="1"/>
    <x v="6"/>
    <n v="73"/>
    <n v="10000"/>
    <n v="7000"/>
    <n v="730000"/>
    <n v="219000"/>
  </r>
  <r>
    <s v="24-05-2020"/>
    <x v="3"/>
    <x v="2"/>
    <x v="5"/>
    <n v="88"/>
    <n v="1000"/>
    <n v="700"/>
    <n v="88000"/>
    <n v="26400"/>
  </r>
  <r>
    <s v="07-12-2020"/>
    <x v="2"/>
    <x v="0"/>
    <x v="3"/>
    <n v="82"/>
    <n v="600"/>
    <n v="400"/>
    <n v="49200"/>
    <n v="16400"/>
  </r>
  <r>
    <s v="02-01-2020"/>
    <x v="5"/>
    <x v="1"/>
    <x v="0"/>
    <n v="150"/>
    <n v="3500"/>
    <n v="2500"/>
    <n v="525000"/>
    <n v="150000"/>
  </r>
  <r>
    <s v="08-08-2020"/>
    <x v="4"/>
    <x v="3"/>
    <x v="6"/>
    <n v="54"/>
    <n v="10000"/>
    <n v="7000"/>
    <n v="540000"/>
    <n v="162000"/>
  </r>
  <r>
    <s v="21-03-2021"/>
    <x v="0"/>
    <x v="3"/>
    <x v="6"/>
    <n v="120"/>
    <n v="10000"/>
    <n v="7000"/>
    <n v="1200000"/>
    <n v="360000"/>
  </r>
  <r>
    <s v="29-08-2020"/>
    <x v="2"/>
    <x v="2"/>
    <x v="3"/>
    <n v="143"/>
    <n v="600"/>
    <n v="400"/>
    <n v="85800"/>
    <n v="28600"/>
  </r>
  <r>
    <s v="02-04-2020"/>
    <x v="4"/>
    <x v="3"/>
    <x v="0"/>
    <n v="91"/>
    <n v="3500"/>
    <n v="2500"/>
    <n v="318500"/>
    <n v="91000"/>
  </r>
  <r>
    <s v="27-07-2020"/>
    <x v="9"/>
    <x v="0"/>
    <x v="6"/>
    <n v="126"/>
    <n v="10000"/>
    <n v="7000"/>
    <n v="1260000"/>
    <n v="378000"/>
  </r>
  <r>
    <s v="11-09-2021"/>
    <x v="1"/>
    <x v="0"/>
    <x v="1"/>
    <n v="116"/>
    <n v="4000"/>
    <n v="3000"/>
    <n v="464000"/>
    <n v="116000"/>
  </r>
  <r>
    <s v="08-05-2021"/>
    <x v="6"/>
    <x v="0"/>
    <x v="2"/>
    <n v="96"/>
    <n v="6000"/>
    <n v="4000"/>
    <n v="576000"/>
    <n v="192000"/>
  </r>
  <r>
    <s v="10-11-2021"/>
    <x v="2"/>
    <x v="3"/>
    <x v="2"/>
    <n v="88"/>
    <n v="6000"/>
    <n v="4000"/>
    <n v="528000"/>
    <n v="176000"/>
  </r>
  <r>
    <s v="11-07-2020"/>
    <x v="4"/>
    <x v="2"/>
    <x v="2"/>
    <n v="58"/>
    <n v="6000"/>
    <n v="4000"/>
    <n v="348000"/>
    <n v="116000"/>
  </r>
  <r>
    <s v="08-08-2020"/>
    <x v="7"/>
    <x v="3"/>
    <x v="1"/>
    <n v="89"/>
    <n v="4000"/>
    <n v="3000"/>
    <n v="356000"/>
    <n v="89000"/>
  </r>
  <r>
    <s v="01-02-2020"/>
    <x v="5"/>
    <x v="0"/>
    <x v="6"/>
    <n v="71"/>
    <n v="10000"/>
    <n v="7000"/>
    <n v="710000"/>
    <n v="213000"/>
  </r>
  <r>
    <s v="24-01-2021"/>
    <x v="4"/>
    <x v="3"/>
    <x v="4"/>
    <n v="120"/>
    <n v="1200"/>
    <n v="800"/>
    <n v="144000"/>
    <n v="48000"/>
  </r>
  <r>
    <s v="18-10-2020"/>
    <x v="2"/>
    <x v="1"/>
    <x v="4"/>
    <n v="116"/>
    <n v="1200"/>
    <n v="800"/>
    <n v="139200"/>
    <n v="46400"/>
  </r>
  <r>
    <s v="14-03-2020"/>
    <x v="3"/>
    <x v="3"/>
    <x v="0"/>
    <n v="53"/>
    <n v="3500"/>
    <n v="2500"/>
    <n v="185500"/>
    <n v="53000"/>
  </r>
  <r>
    <s v="09-05-2021"/>
    <x v="8"/>
    <x v="2"/>
    <x v="0"/>
    <n v="82"/>
    <n v="3500"/>
    <n v="2500"/>
    <n v="287000"/>
    <n v="82000"/>
  </r>
  <r>
    <s v="26-11-2020"/>
    <x v="8"/>
    <x v="2"/>
    <x v="3"/>
    <n v="118"/>
    <n v="600"/>
    <n v="400"/>
    <n v="70800"/>
    <n v="23600"/>
  </r>
  <r>
    <s v="10-09-2021"/>
    <x v="5"/>
    <x v="2"/>
    <x v="0"/>
    <n v="132"/>
    <n v="3500"/>
    <n v="2500"/>
    <n v="462000"/>
    <n v="132000"/>
  </r>
  <r>
    <s v="29-09-2021"/>
    <x v="5"/>
    <x v="0"/>
    <x v="4"/>
    <n v="145"/>
    <n v="1200"/>
    <n v="800"/>
    <n v="174000"/>
    <n v="58000"/>
  </r>
  <r>
    <s v="22-01-2021"/>
    <x v="3"/>
    <x v="3"/>
    <x v="4"/>
    <n v="75"/>
    <n v="1200"/>
    <n v="800"/>
    <n v="90000"/>
    <n v="30000"/>
  </r>
  <r>
    <s v="24-11-2021"/>
    <x v="9"/>
    <x v="0"/>
    <x v="0"/>
    <n v="127"/>
    <n v="3500"/>
    <n v="2500"/>
    <n v="444500"/>
    <n v="127000"/>
  </r>
  <r>
    <s v="10-11-2021"/>
    <x v="2"/>
    <x v="1"/>
    <x v="6"/>
    <n v="123"/>
    <n v="10000"/>
    <n v="7000"/>
    <n v="1230000"/>
    <n v="369000"/>
  </r>
  <r>
    <s v="13-01-2021"/>
    <x v="4"/>
    <x v="3"/>
    <x v="3"/>
    <n v="137"/>
    <n v="600"/>
    <n v="400"/>
    <n v="82200"/>
    <n v="27400"/>
  </r>
  <r>
    <s v="18-06-2021"/>
    <x v="0"/>
    <x v="2"/>
    <x v="4"/>
    <n v="138"/>
    <n v="1200"/>
    <n v="800"/>
    <n v="165600"/>
    <n v="55200"/>
  </r>
  <r>
    <s v="05-06-2021"/>
    <x v="3"/>
    <x v="1"/>
    <x v="0"/>
    <n v="93"/>
    <n v="3500"/>
    <n v="2500"/>
    <n v="325500"/>
    <n v="93000"/>
  </r>
  <r>
    <s v="04-07-2021"/>
    <x v="9"/>
    <x v="3"/>
    <x v="3"/>
    <n v="150"/>
    <n v="600"/>
    <n v="400"/>
    <n v="90000"/>
    <n v="30000"/>
  </r>
  <r>
    <s v="20-10-2021"/>
    <x v="5"/>
    <x v="3"/>
    <x v="1"/>
    <n v="140"/>
    <n v="4000"/>
    <n v="3000"/>
    <n v="560000"/>
    <n v="140000"/>
  </r>
  <r>
    <s v="14-05-2021"/>
    <x v="8"/>
    <x v="1"/>
    <x v="5"/>
    <n v="115"/>
    <n v="1000"/>
    <n v="700"/>
    <n v="115000"/>
    <n v="34500"/>
  </r>
  <r>
    <s v="08-07-2020"/>
    <x v="0"/>
    <x v="2"/>
    <x v="3"/>
    <n v="121"/>
    <n v="600"/>
    <n v="400"/>
    <n v="72600"/>
    <n v="24200"/>
  </r>
  <r>
    <s v="16-11-2021"/>
    <x v="9"/>
    <x v="0"/>
    <x v="6"/>
    <n v="52"/>
    <n v="10000"/>
    <n v="7000"/>
    <n v="520000"/>
    <n v="156000"/>
  </r>
  <r>
    <s v="14-06-2020"/>
    <x v="1"/>
    <x v="3"/>
    <x v="5"/>
    <n v="135"/>
    <n v="1000"/>
    <n v="700"/>
    <n v="135000"/>
    <n v="40500"/>
  </r>
  <r>
    <s v="28-06-2020"/>
    <x v="6"/>
    <x v="0"/>
    <x v="0"/>
    <n v="130"/>
    <n v="3500"/>
    <n v="2500"/>
    <n v="455000"/>
    <n v="130000"/>
  </r>
  <r>
    <s v="17-01-2020"/>
    <x v="3"/>
    <x v="0"/>
    <x v="4"/>
    <n v="129"/>
    <n v="1200"/>
    <n v="800"/>
    <n v="154800"/>
    <n v="51600"/>
  </r>
  <r>
    <s v="21-06-2020"/>
    <x v="3"/>
    <x v="3"/>
    <x v="6"/>
    <n v="60"/>
    <n v="10000"/>
    <n v="7000"/>
    <n v="600000"/>
    <n v="180000"/>
  </r>
  <r>
    <s v="08-11-2021"/>
    <x v="0"/>
    <x v="2"/>
    <x v="6"/>
    <n v="111"/>
    <n v="10000"/>
    <n v="7000"/>
    <n v="1110000"/>
    <n v="333000"/>
  </r>
  <r>
    <s v="21-02-2021"/>
    <x v="4"/>
    <x v="2"/>
    <x v="1"/>
    <n v="67"/>
    <n v="4000"/>
    <n v="3000"/>
    <n v="268000"/>
    <n v="67000"/>
  </r>
  <r>
    <s v="16-05-2020"/>
    <x v="7"/>
    <x v="1"/>
    <x v="1"/>
    <n v="92"/>
    <n v="4000"/>
    <n v="3000"/>
    <n v="368000"/>
    <n v="92000"/>
  </r>
  <r>
    <s v="19-10-2021"/>
    <x v="3"/>
    <x v="3"/>
    <x v="2"/>
    <n v="73"/>
    <n v="6000"/>
    <n v="4000"/>
    <n v="438000"/>
    <n v="146000"/>
  </r>
  <r>
    <s v="25-02-2021"/>
    <x v="5"/>
    <x v="3"/>
    <x v="3"/>
    <n v="74"/>
    <n v="600"/>
    <n v="400"/>
    <n v="44400"/>
    <n v="14800"/>
  </r>
  <r>
    <s v="14-06-2020"/>
    <x v="6"/>
    <x v="2"/>
    <x v="4"/>
    <n v="85"/>
    <n v="1200"/>
    <n v="800"/>
    <n v="102000"/>
    <n v="34000"/>
  </r>
  <r>
    <s v="16-04-2021"/>
    <x v="4"/>
    <x v="0"/>
    <x v="2"/>
    <n v="90"/>
    <n v="6000"/>
    <n v="4000"/>
    <n v="540000"/>
    <n v="180000"/>
  </r>
  <r>
    <s v="04-06-2020"/>
    <x v="4"/>
    <x v="1"/>
    <x v="1"/>
    <n v="67"/>
    <n v="4000"/>
    <n v="3000"/>
    <n v="268000"/>
    <n v="67000"/>
  </r>
  <r>
    <s v="20-03-2020"/>
    <x v="0"/>
    <x v="2"/>
    <x v="0"/>
    <n v="79"/>
    <n v="3500"/>
    <n v="2500"/>
    <n v="276500"/>
    <n v="79000"/>
  </r>
  <r>
    <s v="28-06-2021"/>
    <x v="8"/>
    <x v="0"/>
    <x v="0"/>
    <n v="139"/>
    <n v="3500"/>
    <n v="2500"/>
    <n v="486500"/>
    <n v="139000"/>
  </r>
  <r>
    <s v="25-10-2020"/>
    <x v="3"/>
    <x v="2"/>
    <x v="0"/>
    <n v="53"/>
    <n v="3500"/>
    <n v="2500"/>
    <n v="185500"/>
    <n v="53000"/>
  </r>
  <r>
    <s v="30-04-2020"/>
    <x v="5"/>
    <x v="2"/>
    <x v="6"/>
    <n v="110"/>
    <n v="10000"/>
    <n v="7000"/>
    <n v="1100000"/>
    <n v="330000"/>
  </r>
  <r>
    <s v="17-06-2021"/>
    <x v="2"/>
    <x v="1"/>
    <x v="1"/>
    <n v="81"/>
    <n v="4000"/>
    <n v="3000"/>
    <n v="324000"/>
    <n v="81000"/>
  </r>
  <r>
    <s v="09-11-2021"/>
    <x v="0"/>
    <x v="2"/>
    <x v="4"/>
    <n v="147"/>
    <n v="1200"/>
    <n v="800"/>
    <n v="176400"/>
    <n v="58800"/>
  </r>
  <r>
    <s v="27-08-2021"/>
    <x v="7"/>
    <x v="3"/>
    <x v="5"/>
    <n v="57"/>
    <n v="1000"/>
    <n v="700"/>
    <n v="57000"/>
    <n v="17100"/>
  </r>
  <r>
    <s v="17-08-2021"/>
    <x v="9"/>
    <x v="2"/>
    <x v="0"/>
    <n v="68"/>
    <n v="3500"/>
    <n v="2500"/>
    <n v="238000"/>
    <n v="68000"/>
  </r>
  <r>
    <s v="14-10-2020"/>
    <x v="0"/>
    <x v="0"/>
    <x v="1"/>
    <n v="75"/>
    <n v="4000"/>
    <n v="3000"/>
    <n v="300000"/>
    <n v="75000"/>
  </r>
  <r>
    <s v="29-06-2020"/>
    <x v="4"/>
    <x v="1"/>
    <x v="0"/>
    <n v="90"/>
    <n v="3500"/>
    <n v="2500"/>
    <n v="315000"/>
    <n v="90000"/>
  </r>
  <r>
    <s v="31-12-2021"/>
    <x v="7"/>
    <x v="0"/>
    <x v="6"/>
    <n v="72"/>
    <n v="10000"/>
    <n v="7000"/>
    <n v="720000"/>
    <n v="216000"/>
  </r>
  <r>
    <s v="23-11-2020"/>
    <x v="2"/>
    <x v="1"/>
    <x v="3"/>
    <n v="97"/>
    <n v="600"/>
    <n v="400"/>
    <n v="58200"/>
    <n v="19400"/>
  </r>
  <r>
    <s v="26-05-2020"/>
    <x v="5"/>
    <x v="2"/>
    <x v="0"/>
    <n v="124"/>
    <n v="3500"/>
    <n v="2500"/>
    <n v="434000"/>
    <n v="124000"/>
  </r>
  <r>
    <s v="30-07-2021"/>
    <x v="8"/>
    <x v="0"/>
    <x v="4"/>
    <n v="90"/>
    <n v="1200"/>
    <n v="800"/>
    <n v="108000"/>
    <n v="36000"/>
  </r>
  <r>
    <s v="29-07-2020"/>
    <x v="0"/>
    <x v="1"/>
    <x v="4"/>
    <n v="52"/>
    <n v="1200"/>
    <n v="800"/>
    <n v="62400"/>
    <n v="20800"/>
  </r>
  <r>
    <s v="14-08-2021"/>
    <x v="8"/>
    <x v="2"/>
    <x v="1"/>
    <n v="70"/>
    <n v="4000"/>
    <n v="3000"/>
    <n v="280000"/>
    <n v="70000"/>
  </r>
  <r>
    <s v="01-07-2021"/>
    <x v="2"/>
    <x v="1"/>
    <x v="3"/>
    <n v="147"/>
    <n v="600"/>
    <n v="400"/>
    <n v="88200"/>
    <n v="29400"/>
  </r>
  <r>
    <s v="06-05-2021"/>
    <x v="1"/>
    <x v="2"/>
    <x v="1"/>
    <n v="134"/>
    <n v="4000"/>
    <n v="3000"/>
    <n v="536000"/>
    <n v="134000"/>
  </r>
  <r>
    <s v="02-05-2021"/>
    <x v="0"/>
    <x v="0"/>
    <x v="2"/>
    <n v="135"/>
    <n v="6000"/>
    <n v="4000"/>
    <n v="810000"/>
    <n v="270000"/>
  </r>
  <r>
    <s v="17-01-2020"/>
    <x v="2"/>
    <x v="1"/>
    <x v="5"/>
    <n v="146"/>
    <n v="1000"/>
    <n v="700"/>
    <n v="146000"/>
    <n v="43800"/>
  </r>
  <r>
    <s v="18-11-2021"/>
    <x v="1"/>
    <x v="0"/>
    <x v="3"/>
    <n v="82"/>
    <n v="600"/>
    <n v="400"/>
    <n v="49200"/>
    <n v="16400"/>
  </r>
  <r>
    <s v="28-12-2021"/>
    <x v="5"/>
    <x v="1"/>
    <x v="2"/>
    <n v="59"/>
    <n v="6000"/>
    <n v="4000"/>
    <n v="354000"/>
    <n v="118000"/>
  </r>
  <r>
    <s v="17-02-2021"/>
    <x v="3"/>
    <x v="3"/>
    <x v="5"/>
    <n v="66"/>
    <n v="1000"/>
    <n v="700"/>
    <n v="66000"/>
    <n v="19800"/>
  </r>
  <r>
    <s v="02-12-2021"/>
    <x v="5"/>
    <x v="2"/>
    <x v="6"/>
    <n v="100"/>
    <n v="10000"/>
    <n v="7000"/>
    <n v="1000000"/>
    <n v="300000"/>
  </r>
  <r>
    <s v="14-05-2021"/>
    <x v="5"/>
    <x v="1"/>
    <x v="0"/>
    <n v="107"/>
    <n v="3500"/>
    <n v="2500"/>
    <n v="374500"/>
    <n v="107000"/>
  </r>
  <r>
    <s v="04-06-2021"/>
    <x v="0"/>
    <x v="2"/>
    <x v="2"/>
    <n v="78"/>
    <n v="6000"/>
    <n v="4000"/>
    <n v="468000"/>
    <n v="156000"/>
  </r>
  <r>
    <s v="08-02-2020"/>
    <x v="6"/>
    <x v="2"/>
    <x v="3"/>
    <n v="125"/>
    <n v="600"/>
    <n v="400"/>
    <n v="75000"/>
    <n v="25000"/>
  </r>
  <r>
    <s v="27-03-2020"/>
    <x v="5"/>
    <x v="2"/>
    <x v="5"/>
    <n v="103"/>
    <n v="1000"/>
    <n v="700"/>
    <n v="103000"/>
    <n v="30900"/>
  </r>
  <r>
    <s v="02-08-2021"/>
    <x v="9"/>
    <x v="3"/>
    <x v="6"/>
    <n v="103"/>
    <n v="10000"/>
    <n v="7000"/>
    <n v="1030000"/>
    <n v="309000"/>
  </r>
  <r>
    <s v="30-08-2020"/>
    <x v="9"/>
    <x v="1"/>
    <x v="0"/>
    <n v="59"/>
    <n v="3500"/>
    <n v="2500"/>
    <n v="206500"/>
    <n v="59000"/>
  </r>
  <r>
    <s v="04-03-2020"/>
    <x v="0"/>
    <x v="0"/>
    <x v="3"/>
    <n v="122"/>
    <n v="600"/>
    <n v="400"/>
    <n v="73200"/>
    <n v="24400"/>
  </r>
  <r>
    <s v="14-03-2021"/>
    <x v="6"/>
    <x v="1"/>
    <x v="4"/>
    <n v="77"/>
    <n v="1200"/>
    <n v="800"/>
    <n v="92400"/>
    <n v="30800"/>
  </r>
  <r>
    <s v="02-03-2020"/>
    <x v="3"/>
    <x v="2"/>
    <x v="3"/>
    <n v="67"/>
    <n v="600"/>
    <n v="400"/>
    <n v="40200"/>
    <n v="13400"/>
  </r>
  <r>
    <s v="21-08-2020"/>
    <x v="2"/>
    <x v="3"/>
    <x v="6"/>
    <n v="57"/>
    <n v="10000"/>
    <n v="7000"/>
    <n v="570000"/>
    <n v="171000"/>
  </r>
  <r>
    <s v="13-01-2020"/>
    <x v="0"/>
    <x v="2"/>
    <x v="0"/>
    <n v="107"/>
    <n v="3500"/>
    <n v="2500"/>
    <n v="374500"/>
    <n v="107000"/>
  </r>
  <r>
    <s v="28-10-2020"/>
    <x v="0"/>
    <x v="3"/>
    <x v="0"/>
    <n v="120"/>
    <n v="3500"/>
    <n v="2500"/>
    <n v="420000"/>
    <n v="120000"/>
  </r>
  <r>
    <s v="17-09-2021"/>
    <x v="8"/>
    <x v="0"/>
    <x v="2"/>
    <n v="129"/>
    <n v="6000"/>
    <n v="4000"/>
    <n v="774000"/>
    <n v="258000"/>
  </r>
  <r>
    <s v="23-03-2020"/>
    <x v="4"/>
    <x v="2"/>
    <x v="1"/>
    <n v="99"/>
    <n v="4000"/>
    <n v="3000"/>
    <n v="396000"/>
    <n v="99000"/>
  </r>
  <r>
    <s v="18-03-2021"/>
    <x v="8"/>
    <x v="3"/>
    <x v="0"/>
    <n v="57"/>
    <n v="3500"/>
    <n v="2500"/>
    <n v="199500"/>
    <n v="57000"/>
  </r>
  <r>
    <s v="25-11-2021"/>
    <x v="9"/>
    <x v="0"/>
    <x v="4"/>
    <n v="105"/>
    <n v="1200"/>
    <n v="800"/>
    <n v="126000"/>
    <n v="42000"/>
  </r>
  <r>
    <s v="20-10-2021"/>
    <x v="8"/>
    <x v="2"/>
    <x v="4"/>
    <n v="71"/>
    <n v="1200"/>
    <n v="800"/>
    <n v="85200"/>
    <n v="28400"/>
  </r>
  <r>
    <s v="22-07-2020"/>
    <x v="0"/>
    <x v="0"/>
    <x v="2"/>
    <n v="86"/>
    <n v="6000"/>
    <n v="4000"/>
    <n v="516000"/>
    <n v="172000"/>
  </r>
  <r>
    <s v="08-04-2021"/>
    <x v="3"/>
    <x v="3"/>
    <x v="3"/>
    <n v="121"/>
    <n v="600"/>
    <n v="400"/>
    <n v="72600"/>
    <n v="24200"/>
  </r>
  <r>
    <s v="29-09-2020"/>
    <x v="1"/>
    <x v="1"/>
    <x v="5"/>
    <n v="61"/>
    <n v="1000"/>
    <n v="700"/>
    <n v="61000"/>
    <n v="18300"/>
  </r>
  <r>
    <s v="07-12-2020"/>
    <x v="9"/>
    <x v="1"/>
    <x v="6"/>
    <n v="51"/>
    <n v="10000"/>
    <n v="7000"/>
    <n v="510000"/>
    <n v="153000"/>
  </r>
  <r>
    <s v="17-10-2021"/>
    <x v="8"/>
    <x v="3"/>
    <x v="6"/>
    <n v="125"/>
    <n v="10000"/>
    <n v="7000"/>
    <n v="1250000"/>
    <n v="375000"/>
  </r>
  <r>
    <s v="24-04-2020"/>
    <x v="8"/>
    <x v="3"/>
    <x v="0"/>
    <n v="56"/>
    <n v="3500"/>
    <n v="2500"/>
    <n v="196000"/>
    <n v="56000"/>
  </r>
  <r>
    <s v="18-02-2021"/>
    <x v="4"/>
    <x v="2"/>
    <x v="2"/>
    <n v="79"/>
    <n v="6000"/>
    <n v="4000"/>
    <n v="474000"/>
    <n v="158000"/>
  </r>
  <r>
    <s v="10-05-2021"/>
    <x v="3"/>
    <x v="3"/>
    <x v="6"/>
    <n v="89"/>
    <n v="10000"/>
    <n v="7000"/>
    <n v="890000"/>
    <n v="267000"/>
  </r>
  <r>
    <s v="18-02-2020"/>
    <x v="1"/>
    <x v="3"/>
    <x v="6"/>
    <n v="66"/>
    <n v="10000"/>
    <n v="7000"/>
    <n v="660000"/>
    <n v="198000"/>
  </r>
  <r>
    <s v="28-05-2021"/>
    <x v="7"/>
    <x v="1"/>
    <x v="1"/>
    <n v="125"/>
    <n v="4000"/>
    <n v="3000"/>
    <n v="500000"/>
    <n v="125000"/>
  </r>
  <r>
    <s v="02-08-2021"/>
    <x v="9"/>
    <x v="0"/>
    <x v="0"/>
    <n v="86"/>
    <n v="3500"/>
    <n v="2500"/>
    <n v="301000"/>
    <n v="86000"/>
  </r>
  <r>
    <s v="18-07-2020"/>
    <x v="3"/>
    <x v="0"/>
    <x v="2"/>
    <n v="147"/>
    <n v="6000"/>
    <n v="4000"/>
    <n v="882000"/>
    <n v="294000"/>
  </r>
  <r>
    <s v="07-09-2021"/>
    <x v="9"/>
    <x v="2"/>
    <x v="4"/>
    <n v="53"/>
    <n v="1200"/>
    <n v="800"/>
    <n v="63600"/>
    <n v="21200"/>
  </r>
  <r>
    <s v="09-06-2020"/>
    <x v="3"/>
    <x v="1"/>
    <x v="5"/>
    <n v="134"/>
    <n v="1000"/>
    <n v="700"/>
    <n v="134000"/>
    <n v="40200"/>
  </r>
  <r>
    <s v="21-03-2020"/>
    <x v="6"/>
    <x v="0"/>
    <x v="4"/>
    <n v="53"/>
    <n v="1200"/>
    <n v="800"/>
    <n v="63600"/>
    <n v="21200"/>
  </r>
  <r>
    <s v="12-08-2021"/>
    <x v="2"/>
    <x v="3"/>
    <x v="0"/>
    <n v="150"/>
    <n v="3500"/>
    <n v="2500"/>
    <n v="525000"/>
    <n v="150000"/>
  </r>
  <r>
    <s v="20-09-2020"/>
    <x v="6"/>
    <x v="0"/>
    <x v="3"/>
    <n v="110"/>
    <n v="600"/>
    <n v="400"/>
    <n v="66000"/>
    <n v="22000"/>
  </r>
  <r>
    <s v="15-12-2020"/>
    <x v="2"/>
    <x v="0"/>
    <x v="2"/>
    <n v="83"/>
    <n v="6000"/>
    <n v="4000"/>
    <n v="498000"/>
    <n v="166000"/>
  </r>
  <r>
    <s v="04-08-2021"/>
    <x v="7"/>
    <x v="0"/>
    <x v="1"/>
    <n v="73"/>
    <n v="4000"/>
    <n v="3000"/>
    <n v="292000"/>
    <n v="73000"/>
  </r>
  <r>
    <s v="06-09-2021"/>
    <x v="4"/>
    <x v="0"/>
    <x v="6"/>
    <n v="101"/>
    <n v="10000"/>
    <n v="7000"/>
    <n v="1010000"/>
    <n v="303000"/>
  </r>
  <r>
    <s v="25-10-2021"/>
    <x v="9"/>
    <x v="0"/>
    <x v="3"/>
    <n v="106"/>
    <n v="600"/>
    <n v="400"/>
    <n v="63600"/>
    <n v="21200"/>
  </r>
  <r>
    <s v="26-03-2021"/>
    <x v="2"/>
    <x v="2"/>
    <x v="5"/>
    <n v="126"/>
    <n v="1000"/>
    <n v="700"/>
    <n v="126000"/>
    <n v="37800"/>
  </r>
  <r>
    <s v="02-05-2021"/>
    <x v="4"/>
    <x v="3"/>
    <x v="1"/>
    <n v="128"/>
    <n v="4000"/>
    <n v="3000"/>
    <n v="512000"/>
    <n v="128000"/>
  </r>
  <r>
    <s v="23-02-2020"/>
    <x v="3"/>
    <x v="2"/>
    <x v="5"/>
    <n v="75"/>
    <n v="1000"/>
    <n v="700"/>
    <n v="75000"/>
    <n v="22500"/>
  </r>
  <r>
    <s v="17-02-2021"/>
    <x v="3"/>
    <x v="0"/>
    <x v="2"/>
    <n v="71"/>
    <n v="6000"/>
    <n v="4000"/>
    <n v="426000"/>
    <n v="142000"/>
  </r>
  <r>
    <s v="21-01-2020"/>
    <x v="3"/>
    <x v="1"/>
    <x v="0"/>
    <n v="127"/>
    <n v="3500"/>
    <n v="2500"/>
    <n v="444500"/>
    <n v="127000"/>
  </r>
  <r>
    <s v="13-11-2021"/>
    <x v="5"/>
    <x v="0"/>
    <x v="6"/>
    <n v="98"/>
    <n v="10000"/>
    <n v="7000"/>
    <n v="980000"/>
    <n v="294000"/>
  </r>
  <r>
    <s v="27-07-2021"/>
    <x v="1"/>
    <x v="2"/>
    <x v="4"/>
    <n v="144"/>
    <n v="1200"/>
    <n v="800"/>
    <n v="172800"/>
    <n v="57600"/>
  </r>
  <r>
    <s v="26-12-2021"/>
    <x v="0"/>
    <x v="1"/>
    <x v="1"/>
    <n v="115"/>
    <n v="4000"/>
    <n v="3000"/>
    <n v="460000"/>
    <n v="115000"/>
  </r>
  <r>
    <s v="25-10-2020"/>
    <x v="0"/>
    <x v="0"/>
    <x v="1"/>
    <n v="92"/>
    <n v="4000"/>
    <n v="3000"/>
    <n v="368000"/>
    <n v="92000"/>
  </r>
  <r>
    <s v="30-07-2020"/>
    <x v="0"/>
    <x v="0"/>
    <x v="2"/>
    <n v="63"/>
    <n v="6000"/>
    <n v="4000"/>
    <n v="378000"/>
    <n v="126000"/>
  </r>
  <r>
    <s v="23-02-2021"/>
    <x v="9"/>
    <x v="3"/>
    <x v="5"/>
    <n v="136"/>
    <n v="1000"/>
    <n v="700"/>
    <n v="136000"/>
    <n v="40800"/>
  </r>
  <r>
    <s v="06-06-2021"/>
    <x v="5"/>
    <x v="2"/>
    <x v="1"/>
    <n v="114"/>
    <n v="4000"/>
    <n v="3000"/>
    <n v="456000"/>
    <n v="114000"/>
  </r>
  <r>
    <s v="03-08-2020"/>
    <x v="2"/>
    <x v="3"/>
    <x v="1"/>
    <n v="70"/>
    <n v="4000"/>
    <n v="3000"/>
    <n v="280000"/>
    <n v="70000"/>
  </r>
  <r>
    <s v="01-08-2020"/>
    <x v="5"/>
    <x v="2"/>
    <x v="1"/>
    <n v="126"/>
    <n v="4000"/>
    <n v="3000"/>
    <n v="504000"/>
    <n v="126000"/>
  </r>
  <r>
    <s v="27-09-2021"/>
    <x v="7"/>
    <x v="3"/>
    <x v="5"/>
    <n v="124"/>
    <n v="1000"/>
    <n v="700"/>
    <n v="124000"/>
    <n v="37200"/>
  </r>
  <r>
    <s v="27-01-2021"/>
    <x v="4"/>
    <x v="0"/>
    <x v="4"/>
    <n v="144"/>
    <n v="1200"/>
    <n v="800"/>
    <n v="172800"/>
    <n v="57600"/>
  </r>
  <r>
    <s v="15-04-2021"/>
    <x v="0"/>
    <x v="3"/>
    <x v="2"/>
    <n v="140"/>
    <n v="6000"/>
    <n v="4000"/>
    <n v="840000"/>
    <n v="280000"/>
  </r>
  <r>
    <s v="11-03-2021"/>
    <x v="7"/>
    <x v="1"/>
    <x v="0"/>
    <n v="86"/>
    <n v="3500"/>
    <n v="2500"/>
    <n v="301000"/>
    <n v="86000"/>
  </r>
  <r>
    <s v="08-06-2021"/>
    <x v="8"/>
    <x v="2"/>
    <x v="6"/>
    <n v="138"/>
    <n v="10000"/>
    <n v="7000"/>
    <n v="1380000"/>
    <n v="414000"/>
  </r>
  <r>
    <s v="03-06-2021"/>
    <x v="6"/>
    <x v="2"/>
    <x v="1"/>
    <n v="62"/>
    <n v="4000"/>
    <n v="3000"/>
    <n v="248000"/>
    <n v="62000"/>
  </r>
  <r>
    <s v="25-06-2020"/>
    <x v="0"/>
    <x v="1"/>
    <x v="2"/>
    <n v="113"/>
    <n v="6000"/>
    <n v="4000"/>
    <n v="678000"/>
    <n v="226000"/>
  </r>
  <r>
    <s v="18-02-2021"/>
    <x v="2"/>
    <x v="2"/>
    <x v="2"/>
    <n v="96"/>
    <n v="6000"/>
    <n v="4000"/>
    <n v="576000"/>
    <n v="192000"/>
  </r>
  <r>
    <s v="31-08-2021"/>
    <x v="0"/>
    <x v="2"/>
    <x v="1"/>
    <n v="72"/>
    <n v="4000"/>
    <n v="3000"/>
    <n v="288000"/>
    <n v="72000"/>
  </r>
  <r>
    <s v="30-07-2021"/>
    <x v="7"/>
    <x v="2"/>
    <x v="6"/>
    <n v="148"/>
    <n v="10000"/>
    <n v="7000"/>
    <n v="1480000"/>
    <n v="444000"/>
  </r>
  <r>
    <s v="30-06-2021"/>
    <x v="9"/>
    <x v="0"/>
    <x v="4"/>
    <n v="99"/>
    <n v="1200"/>
    <n v="800"/>
    <n v="118800"/>
    <n v="39600"/>
  </r>
  <r>
    <s v="16-08-2021"/>
    <x v="8"/>
    <x v="3"/>
    <x v="2"/>
    <n v="79"/>
    <n v="6000"/>
    <n v="4000"/>
    <n v="474000"/>
    <n v="158000"/>
  </r>
  <r>
    <s v="25-02-2020"/>
    <x v="7"/>
    <x v="2"/>
    <x v="1"/>
    <n v="59"/>
    <n v="4000"/>
    <n v="3000"/>
    <n v="236000"/>
    <n v="59000"/>
  </r>
  <r>
    <s v="05-05-2020"/>
    <x v="8"/>
    <x v="1"/>
    <x v="6"/>
    <n v="86"/>
    <n v="10000"/>
    <n v="7000"/>
    <n v="860000"/>
    <n v="258000"/>
  </r>
  <r>
    <s v="09-08-2021"/>
    <x v="3"/>
    <x v="2"/>
    <x v="2"/>
    <n v="80"/>
    <n v="6000"/>
    <n v="4000"/>
    <n v="480000"/>
    <n v="160000"/>
  </r>
  <r>
    <s v="15-01-2020"/>
    <x v="9"/>
    <x v="2"/>
    <x v="4"/>
    <n v="142"/>
    <n v="1200"/>
    <n v="800"/>
    <n v="170400"/>
    <n v="56800"/>
  </r>
  <r>
    <s v="23-09-2021"/>
    <x v="4"/>
    <x v="0"/>
    <x v="6"/>
    <n v="87"/>
    <n v="10000"/>
    <n v="7000"/>
    <n v="870000"/>
    <n v="261000"/>
  </r>
  <r>
    <s v="17-05-2020"/>
    <x v="1"/>
    <x v="1"/>
    <x v="0"/>
    <n v="125"/>
    <n v="3500"/>
    <n v="2500"/>
    <n v="437500"/>
    <n v="125000"/>
  </r>
  <r>
    <s v="17-12-2021"/>
    <x v="1"/>
    <x v="3"/>
    <x v="5"/>
    <n v="85"/>
    <n v="1000"/>
    <n v="700"/>
    <n v="85000"/>
    <n v="25500"/>
  </r>
  <r>
    <s v="26-06-2020"/>
    <x v="6"/>
    <x v="0"/>
    <x v="4"/>
    <n v="55"/>
    <n v="1200"/>
    <n v="800"/>
    <n v="66000"/>
    <n v="22000"/>
  </r>
  <r>
    <s v="31-10-2020"/>
    <x v="8"/>
    <x v="0"/>
    <x v="6"/>
    <n v="132"/>
    <n v="10000"/>
    <n v="7000"/>
    <n v="1320000"/>
    <n v="396000"/>
  </r>
  <r>
    <s v="13-05-2020"/>
    <x v="6"/>
    <x v="0"/>
    <x v="4"/>
    <n v="106"/>
    <n v="1200"/>
    <n v="800"/>
    <n v="127200"/>
    <n v="42400"/>
  </r>
  <r>
    <s v="10-11-2021"/>
    <x v="5"/>
    <x v="2"/>
    <x v="5"/>
    <n v="106"/>
    <n v="1000"/>
    <n v="700"/>
    <n v="106000"/>
    <n v="31800"/>
  </r>
  <r>
    <s v="03-11-2020"/>
    <x v="4"/>
    <x v="0"/>
    <x v="5"/>
    <n v="96"/>
    <n v="1000"/>
    <n v="700"/>
    <n v="96000"/>
    <n v="28800"/>
  </r>
  <r>
    <s v="17-01-2020"/>
    <x v="9"/>
    <x v="1"/>
    <x v="5"/>
    <n v="142"/>
    <n v="1000"/>
    <n v="700"/>
    <n v="142000"/>
    <n v="42600"/>
  </r>
  <r>
    <s v="07-01-2020"/>
    <x v="1"/>
    <x v="1"/>
    <x v="4"/>
    <n v="67"/>
    <n v="1200"/>
    <n v="800"/>
    <n v="80400"/>
    <n v="26800"/>
  </r>
  <r>
    <s v="18-06-2021"/>
    <x v="0"/>
    <x v="0"/>
    <x v="6"/>
    <n v="132"/>
    <n v="10000"/>
    <n v="7000"/>
    <n v="1320000"/>
    <n v="396000"/>
  </r>
  <r>
    <s v="22-12-2020"/>
    <x v="8"/>
    <x v="0"/>
    <x v="6"/>
    <n v="122"/>
    <n v="10000"/>
    <n v="7000"/>
    <n v="1220000"/>
    <n v="366000"/>
  </r>
  <r>
    <s v="21-01-2021"/>
    <x v="4"/>
    <x v="2"/>
    <x v="4"/>
    <n v="123"/>
    <n v="1200"/>
    <n v="800"/>
    <n v="147600"/>
    <n v="49200"/>
  </r>
  <r>
    <s v="16-06-2020"/>
    <x v="3"/>
    <x v="0"/>
    <x v="0"/>
    <n v="63"/>
    <n v="3500"/>
    <n v="2500"/>
    <n v="220500"/>
    <n v="63000"/>
  </r>
  <r>
    <s v="23-03-2021"/>
    <x v="3"/>
    <x v="3"/>
    <x v="0"/>
    <n v="85"/>
    <n v="3500"/>
    <n v="2500"/>
    <n v="297500"/>
    <n v="85000"/>
  </r>
  <r>
    <s v="29-09-2021"/>
    <x v="8"/>
    <x v="3"/>
    <x v="1"/>
    <n v="123"/>
    <n v="4000"/>
    <n v="3000"/>
    <n v="492000"/>
    <n v="123000"/>
  </r>
  <r>
    <s v="16-11-2021"/>
    <x v="1"/>
    <x v="0"/>
    <x v="3"/>
    <n v="75"/>
    <n v="600"/>
    <n v="400"/>
    <n v="45000"/>
    <n v="15000"/>
  </r>
  <r>
    <s v="23-02-2021"/>
    <x v="4"/>
    <x v="3"/>
    <x v="5"/>
    <n v="126"/>
    <n v="1000"/>
    <n v="700"/>
    <n v="126000"/>
    <n v="37800"/>
  </r>
  <r>
    <s v="08-06-2021"/>
    <x v="3"/>
    <x v="0"/>
    <x v="4"/>
    <n v="88"/>
    <n v="1200"/>
    <n v="800"/>
    <n v="105600"/>
    <n v="35200"/>
  </r>
  <r>
    <s v="14-01-2020"/>
    <x v="6"/>
    <x v="1"/>
    <x v="0"/>
    <n v="59"/>
    <n v="3500"/>
    <n v="2500"/>
    <n v="206500"/>
    <n v="59000"/>
  </r>
  <r>
    <s v="29-07-2021"/>
    <x v="4"/>
    <x v="0"/>
    <x v="0"/>
    <n v="55"/>
    <n v="3500"/>
    <n v="2500"/>
    <n v="192500"/>
    <n v="55000"/>
  </r>
  <r>
    <s v="30-11-2020"/>
    <x v="6"/>
    <x v="0"/>
    <x v="1"/>
    <n v="51"/>
    <n v="4000"/>
    <n v="3000"/>
    <n v="204000"/>
    <n v="51000"/>
  </r>
  <r>
    <s v="20-08-2021"/>
    <x v="5"/>
    <x v="0"/>
    <x v="5"/>
    <n v="127"/>
    <n v="1000"/>
    <n v="700"/>
    <n v="127000"/>
    <n v="38100"/>
  </r>
  <r>
    <s v="31-12-2021"/>
    <x v="4"/>
    <x v="2"/>
    <x v="2"/>
    <n v="128"/>
    <n v="6000"/>
    <n v="4000"/>
    <n v="768000"/>
    <n v="256000"/>
  </r>
  <r>
    <s v="06-02-2021"/>
    <x v="4"/>
    <x v="2"/>
    <x v="0"/>
    <n v="60"/>
    <n v="3500"/>
    <n v="2500"/>
    <n v="210000"/>
    <n v="60000"/>
  </r>
  <r>
    <s v="23-09-2021"/>
    <x v="4"/>
    <x v="2"/>
    <x v="3"/>
    <n v="135"/>
    <n v="600"/>
    <n v="400"/>
    <n v="81000"/>
    <n v="27000"/>
  </r>
  <r>
    <s v="13-01-2020"/>
    <x v="8"/>
    <x v="3"/>
    <x v="5"/>
    <n v="110"/>
    <n v="1000"/>
    <n v="700"/>
    <n v="110000"/>
    <n v="33000"/>
  </r>
  <r>
    <s v="18-04-2021"/>
    <x v="5"/>
    <x v="3"/>
    <x v="5"/>
    <n v="111"/>
    <n v="1000"/>
    <n v="700"/>
    <n v="111000"/>
    <n v="33300"/>
  </r>
  <r>
    <s v="19-04-2021"/>
    <x v="1"/>
    <x v="0"/>
    <x v="5"/>
    <n v="135"/>
    <n v="1000"/>
    <n v="700"/>
    <n v="135000"/>
    <n v="40500"/>
  </r>
  <r>
    <s v="12-03-2020"/>
    <x v="7"/>
    <x v="0"/>
    <x v="4"/>
    <n v="76"/>
    <n v="1200"/>
    <n v="800"/>
    <n v="91200"/>
    <n v="30400"/>
  </r>
  <r>
    <s v="14-12-2020"/>
    <x v="1"/>
    <x v="1"/>
    <x v="5"/>
    <n v="83"/>
    <n v="1000"/>
    <n v="700"/>
    <n v="83000"/>
    <n v="24900"/>
  </r>
  <r>
    <s v="03-11-2020"/>
    <x v="0"/>
    <x v="1"/>
    <x v="1"/>
    <n v="134"/>
    <n v="4000"/>
    <n v="3000"/>
    <n v="536000"/>
    <n v="134000"/>
  </r>
  <r>
    <s v="19-09-2021"/>
    <x v="8"/>
    <x v="2"/>
    <x v="3"/>
    <n v="112"/>
    <n v="600"/>
    <n v="400"/>
    <n v="67200"/>
    <n v="22400"/>
  </r>
  <r>
    <s v="05-11-2020"/>
    <x v="7"/>
    <x v="3"/>
    <x v="1"/>
    <n v="90"/>
    <n v="4000"/>
    <n v="3000"/>
    <n v="360000"/>
    <n v="90000"/>
  </r>
  <r>
    <s v="23-08-2021"/>
    <x v="5"/>
    <x v="1"/>
    <x v="3"/>
    <n v="93"/>
    <n v="600"/>
    <n v="400"/>
    <n v="55800"/>
    <n v="18600"/>
  </r>
  <r>
    <s v="27-07-2021"/>
    <x v="4"/>
    <x v="0"/>
    <x v="5"/>
    <n v="93"/>
    <n v="1000"/>
    <n v="700"/>
    <n v="93000"/>
    <n v="27900"/>
  </r>
  <r>
    <s v="13-02-2021"/>
    <x v="9"/>
    <x v="0"/>
    <x v="4"/>
    <n v="124"/>
    <n v="1200"/>
    <n v="800"/>
    <n v="148800"/>
    <n v="49600"/>
  </r>
  <r>
    <s v="16-05-2021"/>
    <x v="8"/>
    <x v="0"/>
    <x v="5"/>
    <n v="78"/>
    <n v="1000"/>
    <n v="700"/>
    <n v="78000"/>
    <n v="23400"/>
  </r>
  <r>
    <s v="04-03-2020"/>
    <x v="7"/>
    <x v="2"/>
    <x v="0"/>
    <n v="64"/>
    <n v="3500"/>
    <n v="2500"/>
    <n v="224000"/>
    <n v="64000"/>
  </r>
  <r>
    <s v="02-08-2020"/>
    <x v="4"/>
    <x v="0"/>
    <x v="6"/>
    <n v="86"/>
    <n v="10000"/>
    <n v="7000"/>
    <n v="860000"/>
    <n v="258000"/>
  </r>
  <r>
    <s v="18-02-2021"/>
    <x v="7"/>
    <x v="0"/>
    <x v="1"/>
    <n v="95"/>
    <n v="4000"/>
    <n v="3000"/>
    <n v="380000"/>
    <n v="95000"/>
  </r>
  <r>
    <s v="04-03-2021"/>
    <x v="5"/>
    <x v="0"/>
    <x v="4"/>
    <n v="135"/>
    <n v="1200"/>
    <n v="800"/>
    <n v="162000"/>
    <n v="54000"/>
  </r>
  <r>
    <s v="23-11-2020"/>
    <x v="8"/>
    <x v="2"/>
    <x v="5"/>
    <n v="95"/>
    <n v="1000"/>
    <n v="700"/>
    <n v="95000"/>
    <n v="28500"/>
  </r>
  <r>
    <s v="28-10-2021"/>
    <x v="4"/>
    <x v="2"/>
    <x v="0"/>
    <n v="148"/>
    <n v="3500"/>
    <n v="2500"/>
    <n v="518000"/>
    <n v="148000"/>
  </r>
  <r>
    <s v="24-12-2021"/>
    <x v="1"/>
    <x v="3"/>
    <x v="5"/>
    <n v="99"/>
    <n v="1000"/>
    <n v="700"/>
    <n v="99000"/>
    <n v="29700"/>
  </r>
  <r>
    <s v="26-09-2021"/>
    <x v="0"/>
    <x v="2"/>
    <x v="0"/>
    <n v="52"/>
    <n v="3500"/>
    <n v="2500"/>
    <n v="182000"/>
    <n v="52000"/>
  </r>
  <r>
    <s v="06-10-2021"/>
    <x v="1"/>
    <x v="3"/>
    <x v="6"/>
    <n v="133"/>
    <n v="10000"/>
    <n v="7000"/>
    <n v="1330000"/>
    <n v="399000"/>
  </r>
  <r>
    <s v="30-07-2021"/>
    <x v="9"/>
    <x v="2"/>
    <x v="5"/>
    <n v="103"/>
    <n v="1000"/>
    <n v="700"/>
    <n v="103000"/>
    <n v="30900"/>
  </r>
  <r>
    <s v="21-10-2021"/>
    <x v="6"/>
    <x v="0"/>
    <x v="0"/>
    <n v="150"/>
    <n v="3500"/>
    <n v="2500"/>
    <n v="525000"/>
    <n v="150000"/>
  </r>
  <r>
    <s v="12-01-2021"/>
    <x v="7"/>
    <x v="3"/>
    <x v="4"/>
    <n v="130"/>
    <n v="1200"/>
    <n v="800"/>
    <n v="156000"/>
    <n v="52000"/>
  </r>
  <r>
    <s v="13-02-2021"/>
    <x v="7"/>
    <x v="1"/>
    <x v="3"/>
    <n v="88"/>
    <n v="600"/>
    <n v="400"/>
    <n v="52800"/>
    <n v="17600"/>
  </r>
  <r>
    <s v="25-08-2020"/>
    <x v="8"/>
    <x v="1"/>
    <x v="6"/>
    <n v="95"/>
    <n v="10000"/>
    <n v="7000"/>
    <n v="950000"/>
    <n v="285000"/>
  </r>
  <r>
    <s v="05-06-2021"/>
    <x v="3"/>
    <x v="3"/>
    <x v="2"/>
    <n v="93"/>
    <n v="6000"/>
    <n v="4000"/>
    <n v="558000"/>
    <n v="186000"/>
  </r>
  <r>
    <s v="20-07-2021"/>
    <x v="0"/>
    <x v="3"/>
    <x v="0"/>
    <n v="86"/>
    <n v="3500"/>
    <n v="2500"/>
    <n v="301000"/>
    <n v="86000"/>
  </r>
  <r>
    <s v="26-08-2020"/>
    <x v="6"/>
    <x v="1"/>
    <x v="5"/>
    <n v="95"/>
    <n v="1000"/>
    <n v="700"/>
    <n v="95000"/>
    <n v="28500"/>
  </r>
  <r>
    <s v="09-09-2020"/>
    <x v="3"/>
    <x v="3"/>
    <x v="1"/>
    <n v="148"/>
    <n v="4000"/>
    <n v="3000"/>
    <n v="592000"/>
    <n v="148000"/>
  </r>
  <r>
    <s v="11-11-2020"/>
    <x v="5"/>
    <x v="3"/>
    <x v="4"/>
    <n v="119"/>
    <n v="1200"/>
    <n v="800"/>
    <n v="142800"/>
    <n v="47600"/>
  </r>
  <r>
    <s v="29-07-2020"/>
    <x v="8"/>
    <x v="2"/>
    <x v="0"/>
    <n v="92"/>
    <n v="3500"/>
    <n v="2500"/>
    <n v="322000"/>
    <n v="92000"/>
  </r>
  <r>
    <s v="16-10-2021"/>
    <x v="5"/>
    <x v="3"/>
    <x v="0"/>
    <n v="138"/>
    <n v="3500"/>
    <n v="2500"/>
    <n v="483000"/>
    <n v="138000"/>
  </r>
  <r>
    <s v="05-09-2021"/>
    <x v="0"/>
    <x v="0"/>
    <x v="3"/>
    <n v="77"/>
    <n v="600"/>
    <n v="400"/>
    <n v="46200"/>
    <n v="15400"/>
  </r>
  <r>
    <s v="26-12-2021"/>
    <x v="5"/>
    <x v="2"/>
    <x v="1"/>
    <n v="119"/>
    <n v="4000"/>
    <n v="3000"/>
    <n v="476000"/>
    <n v="119000"/>
  </r>
  <r>
    <s v="05-09-2020"/>
    <x v="5"/>
    <x v="0"/>
    <x v="0"/>
    <n v="107"/>
    <n v="3500"/>
    <n v="2500"/>
    <n v="374500"/>
    <n v="107000"/>
  </r>
  <r>
    <s v="14-02-2020"/>
    <x v="3"/>
    <x v="2"/>
    <x v="0"/>
    <n v="82"/>
    <n v="3500"/>
    <n v="2500"/>
    <n v="287000"/>
    <n v="82000"/>
  </r>
  <r>
    <s v="29-08-2020"/>
    <x v="3"/>
    <x v="0"/>
    <x v="2"/>
    <n v="127"/>
    <n v="6000"/>
    <n v="4000"/>
    <n v="762000"/>
    <n v="254000"/>
  </r>
  <r>
    <s v="26-11-2020"/>
    <x v="7"/>
    <x v="0"/>
    <x v="1"/>
    <n v="77"/>
    <n v="4000"/>
    <n v="3000"/>
    <n v="308000"/>
    <n v="77000"/>
  </r>
  <r>
    <s v="25-03-2020"/>
    <x v="6"/>
    <x v="2"/>
    <x v="6"/>
    <n v="91"/>
    <n v="10000"/>
    <n v="7000"/>
    <n v="910000"/>
    <n v="273000"/>
  </r>
  <r>
    <s v="09-04-2021"/>
    <x v="6"/>
    <x v="2"/>
    <x v="1"/>
    <n v="72"/>
    <n v="4000"/>
    <n v="3000"/>
    <n v="288000"/>
    <n v="72000"/>
  </r>
  <r>
    <s v="07-04-2020"/>
    <x v="6"/>
    <x v="0"/>
    <x v="3"/>
    <n v="94"/>
    <n v="600"/>
    <n v="400"/>
    <n v="56400"/>
    <n v="18800"/>
  </r>
  <r>
    <s v="19-01-2021"/>
    <x v="4"/>
    <x v="2"/>
    <x v="0"/>
    <n v="61"/>
    <n v="3500"/>
    <n v="2500"/>
    <n v="213500"/>
    <n v="61000"/>
  </r>
  <r>
    <s v="04-03-2020"/>
    <x v="8"/>
    <x v="3"/>
    <x v="6"/>
    <n v="129"/>
    <n v="10000"/>
    <n v="7000"/>
    <n v="1290000"/>
    <n v="387000"/>
  </r>
  <r>
    <s v="05-06-2020"/>
    <x v="3"/>
    <x v="0"/>
    <x v="3"/>
    <n v="136"/>
    <n v="600"/>
    <n v="400"/>
    <n v="81600"/>
    <n v="27200"/>
  </r>
  <r>
    <s v="31-01-2020"/>
    <x v="9"/>
    <x v="2"/>
    <x v="2"/>
    <n v="87"/>
    <n v="6000"/>
    <n v="4000"/>
    <n v="522000"/>
    <n v="174000"/>
  </r>
  <r>
    <s v="18-10-2021"/>
    <x v="0"/>
    <x v="1"/>
    <x v="0"/>
    <n v="131"/>
    <n v="3500"/>
    <n v="2500"/>
    <n v="458500"/>
    <n v="131000"/>
  </r>
  <r>
    <s v="05-09-2020"/>
    <x v="0"/>
    <x v="0"/>
    <x v="3"/>
    <n v="116"/>
    <n v="600"/>
    <n v="400"/>
    <n v="69600"/>
    <n v="23200"/>
  </r>
  <r>
    <s v="08-04-2021"/>
    <x v="1"/>
    <x v="2"/>
    <x v="5"/>
    <n v="92"/>
    <n v="1000"/>
    <n v="700"/>
    <n v="92000"/>
    <n v="27600"/>
  </r>
  <r>
    <s v="29-12-2021"/>
    <x v="8"/>
    <x v="2"/>
    <x v="5"/>
    <n v="99"/>
    <n v="1000"/>
    <n v="700"/>
    <n v="99000"/>
    <n v="29700"/>
  </r>
  <r>
    <s v="09-07-2020"/>
    <x v="5"/>
    <x v="3"/>
    <x v="4"/>
    <n v="73"/>
    <n v="1200"/>
    <n v="800"/>
    <n v="87600"/>
    <n v="29200"/>
  </r>
  <r>
    <s v="27-10-2021"/>
    <x v="8"/>
    <x v="2"/>
    <x v="1"/>
    <n v="141"/>
    <n v="4000"/>
    <n v="3000"/>
    <n v="564000"/>
    <n v="141000"/>
  </r>
  <r>
    <s v="20-08-2020"/>
    <x v="2"/>
    <x v="2"/>
    <x v="0"/>
    <n v="98"/>
    <n v="3500"/>
    <n v="2500"/>
    <n v="343000"/>
    <n v="98000"/>
  </r>
  <r>
    <s v="14-08-2020"/>
    <x v="5"/>
    <x v="0"/>
    <x v="5"/>
    <n v="100"/>
    <n v="1000"/>
    <n v="700"/>
    <n v="100000"/>
    <n v="30000"/>
  </r>
  <r>
    <s v="06-01-2020"/>
    <x v="4"/>
    <x v="3"/>
    <x v="3"/>
    <n v="109"/>
    <n v="600"/>
    <n v="400"/>
    <n v="65400"/>
    <n v="21800"/>
  </r>
  <r>
    <s v="03-05-2020"/>
    <x v="8"/>
    <x v="1"/>
    <x v="2"/>
    <n v="131"/>
    <n v="6000"/>
    <n v="4000"/>
    <n v="786000"/>
    <n v="262000"/>
  </r>
  <r>
    <s v="15-08-2021"/>
    <x v="0"/>
    <x v="0"/>
    <x v="5"/>
    <n v="66"/>
    <n v="1000"/>
    <n v="700"/>
    <n v="66000"/>
    <n v="19800"/>
  </r>
  <r>
    <s v="28-06-2020"/>
    <x v="0"/>
    <x v="3"/>
    <x v="0"/>
    <n v="75"/>
    <n v="3500"/>
    <n v="2500"/>
    <n v="262500"/>
    <n v="75000"/>
  </r>
  <r>
    <s v="24-02-2021"/>
    <x v="3"/>
    <x v="1"/>
    <x v="0"/>
    <n v="58"/>
    <n v="3500"/>
    <n v="2500"/>
    <n v="203000"/>
    <n v="58000"/>
  </r>
  <r>
    <s v="24-04-2021"/>
    <x v="8"/>
    <x v="1"/>
    <x v="0"/>
    <n v="55"/>
    <n v="3500"/>
    <n v="2500"/>
    <n v="192500"/>
    <n v="55000"/>
  </r>
  <r>
    <s v="10-02-2021"/>
    <x v="3"/>
    <x v="0"/>
    <x v="6"/>
    <n v="143"/>
    <n v="10000"/>
    <n v="7000"/>
    <n v="1430000"/>
    <n v="429000"/>
  </r>
  <r>
    <s v="25-03-2020"/>
    <x v="7"/>
    <x v="1"/>
    <x v="0"/>
    <n v="98"/>
    <n v="3500"/>
    <n v="2500"/>
    <n v="343000"/>
    <n v="98000"/>
  </r>
  <r>
    <s v="06-08-2020"/>
    <x v="9"/>
    <x v="3"/>
    <x v="1"/>
    <n v="72"/>
    <n v="4000"/>
    <n v="3000"/>
    <n v="288000"/>
    <n v="72000"/>
  </r>
  <r>
    <s v="29-07-2020"/>
    <x v="0"/>
    <x v="3"/>
    <x v="2"/>
    <n v="97"/>
    <n v="6000"/>
    <n v="4000"/>
    <n v="582000"/>
    <n v="194000"/>
  </r>
  <r>
    <s v="30-04-2021"/>
    <x v="9"/>
    <x v="0"/>
    <x v="5"/>
    <n v="125"/>
    <n v="1000"/>
    <n v="700"/>
    <n v="125000"/>
    <n v="37500"/>
  </r>
  <r>
    <s v="13-01-2021"/>
    <x v="9"/>
    <x v="3"/>
    <x v="5"/>
    <n v="89"/>
    <n v="1000"/>
    <n v="700"/>
    <n v="89000"/>
    <n v="26700"/>
  </r>
  <r>
    <s v="05-09-2021"/>
    <x v="7"/>
    <x v="1"/>
    <x v="2"/>
    <n v="111"/>
    <n v="6000"/>
    <n v="4000"/>
    <n v="666000"/>
    <n v="222000"/>
  </r>
  <r>
    <s v="16-03-2020"/>
    <x v="6"/>
    <x v="2"/>
    <x v="1"/>
    <n v="89"/>
    <n v="4000"/>
    <n v="3000"/>
    <n v="356000"/>
    <n v="89000"/>
  </r>
  <r>
    <s v="29-07-2020"/>
    <x v="0"/>
    <x v="0"/>
    <x v="3"/>
    <n v="83"/>
    <n v="600"/>
    <n v="400"/>
    <n v="49800"/>
    <n v="16600"/>
  </r>
  <r>
    <s v="10-02-2021"/>
    <x v="9"/>
    <x v="0"/>
    <x v="0"/>
    <n v="133"/>
    <n v="3500"/>
    <n v="2500"/>
    <n v="465500"/>
    <n v="133000"/>
  </r>
  <r>
    <s v="30-07-2020"/>
    <x v="4"/>
    <x v="1"/>
    <x v="4"/>
    <n v="54"/>
    <n v="1200"/>
    <n v="800"/>
    <n v="64800"/>
    <n v="21600"/>
  </r>
  <r>
    <s v="04-08-2020"/>
    <x v="0"/>
    <x v="1"/>
    <x v="4"/>
    <n v="95"/>
    <n v="1200"/>
    <n v="800"/>
    <n v="114000"/>
    <n v="38000"/>
  </r>
  <r>
    <s v="13-08-2020"/>
    <x v="1"/>
    <x v="2"/>
    <x v="4"/>
    <n v="53"/>
    <n v="1200"/>
    <n v="800"/>
    <n v="63600"/>
    <n v="21200"/>
  </r>
  <r>
    <s v="06-02-2020"/>
    <x v="8"/>
    <x v="0"/>
    <x v="5"/>
    <n v="87"/>
    <n v="1000"/>
    <n v="700"/>
    <n v="87000"/>
    <n v="26100"/>
  </r>
  <r>
    <s v="06-11-2021"/>
    <x v="5"/>
    <x v="3"/>
    <x v="4"/>
    <n v="147"/>
    <n v="1200"/>
    <n v="800"/>
    <n v="176400"/>
    <n v="58800"/>
  </r>
  <r>
    <s v="27-03-2020"/>
    <x v="3"/>
    <x v="2"/>
    <x v="4"/>
    <n v="139"/>
    <n v="1200"/>
    <n v="800"/>
    <n v="166800"/>
    <n v="55600"/>
  </r>
  <r>
    <s v="28-10-2021"/>
    <x v="2"/>
    <x v="0"/>
    <x v="5"/>
    <n v="147"/>
    <n v="1000"/>
    <n v="700"/>
    <n v="147000"/>
    <n v="44100"/>
  </r>
  <r>
    <s v="29-07-2020"/>
    <x v="7"/>
    <x v="1"/>
    <x v="5"/>
    <n v="59"/>
    <n v="1000"/>
    <n v="700"/>
    <n v="59000"/>
    <n v="17700"/>
  </r>
  <r>
    <s v="14-08-2020"/>
    <x v="9"/>
    <x v="2"/>
    <x v="5"/>
    <n v="136"/>
    <n v="1000"/>
    <n v="700"/>
    <n v="136000"/>
    <n v="40800"/>
  </r>
  <r>
    <s v="23-07-2020"/>
    <x v="9"/>
    <x v="0"/>
    <x v="1"/>
    <n v="64"/>
    <n v="4000"/>
    <n v="3000"/>
    <n v="256000"/>
    <n v="64000"/>
  </r>
  <r>
    <s v="24-11-2021"/>
    <x v="5"/>
    <x v="3"/>
    <x v="5"/>
    <n v="97"/>
    <n v="1000"/>
    <n v="700"/>
    <n v="97000"/>
    <n v="29100"/>
  </r>
  <r>
    <s v="01-02-2021"/>
    <x v="6"/>
    <x v="2"/>
    <x v="5"/>
    <n v="80"/>
    <n v="1000"/>
    <n v="700"/>
    <n v="80000"/>
    <n v="24000"/>
  </r>
  <r>
    <s v="08-01-2021"/>
    <x v="2"/>
    <x v="3"/>
    <x v="2"/>
    <n v="93"/>
    <n v="6000"/>
    <n v="4000"/>
    <n v="558000"/>
    <n v="186000"/>
  </r>
  <r>
    <s v="11-08-2020"/>
    <x v="2"/>
    <x v="3"/>
    <x v="5"/>
    <n v="125"/>
    <n v="1000"/>
    <n v="700"/>
    <n v="125000"/>
    <n v="37500"/>
  </r>
  <r>
    <s v="20-01-2021"/>
    <x v="6"/>
    <x v="2"/>
    <x v="1"/>
    <n v="80"/>
    <n v="4000"/>
    <n v="3000"/>
    <n v="320000"/>
    <n v="80000"/>
  </r>
  <r>
    <s v="08-01-2021"/>
    <x v="7"/>
    <x v="3"/>
    <x v="5"/>
    <n v="57"/>
    <n v="1000"/>
    <n v="700"/>
    <n v="57000"/>
    <n v="17100"/>
  </r>
  <r>
    <s v="09-03-2020"/>
    <x v="0"/>
    <x v="0"/>
    <x v="3"/>
    <n v="135"/>
    <n v="600"/>
    <n v="400"/>
    <n v="81000"/>
    <n v="27000"/>
  </r>
  <r>
    <s v="03-07-2020"/>
    <x v="2"/>
    <x v="1"/>
    <x v="2"/>
    <n v="141"/>
    <n v="6000"/>
    <n v="4000"/>
    <n v="846000"/>
    <n v="28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58C6C2C-DBAB-4367-8F02-81936796F2F1}"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H3:I14" firstHeaderRow="1" firstDataRow="1" firstDataCol="1"/>
  <pivotFields count="9">
    <pivotField showAll="0"/>
    <pivotField axis="axisRow" showAll="0">
      <items count="11">
        <item x="9"/>
        <item x="2"/>
        <item x="3"/>
        <item x="4"/>
        <item x="1"/>
        <item x="5"/>
        <item x="0"/>
        <item x="6"/>
        <item x="7"/>
        <item x="8"/>
        <item t="default"/>
      </items>
    </pivotField>
    <pivotField showAll="0">
      <items count="5">
        <item x="3"/>
        <item x="1"/>
        <item x="0"/>
        <item x="2"/>
        <item t="default"/>
      </items>
    </pivotField>
    <pivotField showAll="0">
      <items count="8">
        <item x="4"/>
        <item x="0"/>
        <item x="3"/>
        <item x="5"/>
        <item x="6"/>
        <item x="1"/>
        <item x="2"/>
        <item t="default"/>
      </items>
    </pivotField>
    <pivotField showAll="0"/>
    <pivotField showAll="0"/>
    <pivotField showAll="0"/>
    <pivotField dataField="1" showAll="0"/>
    <pivotField showAll="0"/>
  </pivotFields>
  <rowFields count="1">
    <field x="1"/>
  </rowFields>
  <rowItems count="11">
    <i>
      <x/>
    </i>
    <i>
      <x v="1"/>
    </i>
    <i>
      <x v="2"/>
    </i>
    <i>
      <x v="3"/>
    </i>
    <i>
      <x v="4"/>
    </i>
    <i>
      <x v="5"/>
    </i>
    <i>
      <x v="6"/>
    </i>
    <i>
      <x v="7"/>
    </i>
    <i>
      <x v="8"/>
    </i>
    <i>
      <x v="9"/>
    </i>
    <i t="grand">
      <x/>
    </i>
  </rowItems>
  <colItems count="1">
    <i/>
  </colItems>
  <dataFields count="1">
    <dataField name="Sum of Total Sales" fld="7" baseField="0" baseItem="0" numFmtId="164"/>
  </dataFields>
  <formats count="1">
    <format dxfId="0">
      <pivotArea outline="0" collapsedLevelsAreSubtotals="1" fieldPosition="0"/>
    </format>
  </formats>
  <chartFormats count="24">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 count="1" selected="0">
            <x v="9"/>
          </reference>
        </references>
      </pivotArea>
    </chartFormat>
    <chartFormat chart="1" format="2">
      <pivotArea type="data" outline="0" fieldPosition="0">
        <references count="2">
          <reference field="4294967294" count="1" selected="0">
            <x v="0"/>
          </reference>
          <reference field="1" count="1" selected="0">
            <x v="8"/>
          </reference>
        </references>
      </pivotArea>
    </chartFormat>
    <chartFormat chart="1" format="3">
      <pivotArea type="data" outline="0" fieldPosition="0">
        <references count="2">
          <reference field="4294967294" count="1" selected="0">
            <x v="0"/>
          </reference>
          <reference field="1" count="1" selected="0">
            <x v="7"/>
          </reference>
        </references>
      </pivotArea>
    </chartFormat>
    <chartFormat chart="1" format="4">
      <pivotArea type="data" outline="0" fieldPosition="0">
        <references count="2">
          <reference field="4294967294" count="1" selected="0">
            <x v="0"/>
          </reference>
          <reference field="1" count="1" selected="0">
            <x v="5"/>
          </reference>
        </references>
      </pivotArea>
    </chartFormat>
    <chartFormat chart="1" format="5">
      <pivotArea type="data" outline="0" fieldPosition="0">
        <references count="2">
          <reference field="4294967294" count="1" selected="0">
            <x v="0"/>
          </reference>
          <reference field="1" count="1" selected="0">
            <x v="2"/>
          </reference>
        </references>
      </pivotArea>
    </chartFormat>
    <chartFormat chart="1" format="6">
      <pivotArea type="data" outline="0" fieldPosition="0">
        <references count="2">
          <reference field="4294967294" count="1" selected="0">
            <x v="0"/>
          </reference>
          <reference field="1" count="1" selected="0">
            <x v="1"/>
          </reference>
        </references>
      </pivotArea>
    </chartFormat>
    <chartFormat chart="1" format="7">
      <pivotArea type="data" outline="0" fieldPosition="0">
        <references count="2">
          <reference field="4294967294" count="1" selected="0">
            <x v="0"/>
          </reference>
          <reference field="1" count="1" selected="0">
            <x v="4"/>
          </reference>
        </references>
      </pivotArea>
    </chartFormat>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1" count="1" selected="0">
            <x v="1"/>
          </reference>
        </references>
      </pivotArea>
    </chartFormat>
    <chartFormat chart="2" format="10">
      <pivotArea type="data" outline="0" fieldPosition="0">
        <references count="2">
          <reference field="4294967294" count="1" selected="0">
            <x v="0"/>
          </reference>
          <reference field="1" count="1" selected="0">
            <x v="2"/>
          </reference>
        </references>
      </pivotArea>
    </chartFormat>
    <chartFormat chart="2" format="11">
      <pivotArea type="data" outline="0" fieldPosition="0">
        <references count="2">
          <reference field="4294967294" count="1" selected="0">
            <x v="0"/>
          </reference>
          <reference field="1" count="1" selected="0">
            <x v="4"/>
          </reference>
        </references>
      </pivotArea>
    </chartFormat>
    <chartFormat chart="2" format="12">
      <pivotArea type="data" outline="0" fieldPosition="0">
        <references count="2">
          <reference field="4294967294" count="1" selected="0">
            <x v="0"/>
          </reference>
          <reference field="1" count="1" selected="0">
            <x v="5"/>
          </reference>
        </references>
      </pivotArea>
    </chartFormat>
    <chartFormat chart="2" format="13">
      <pivotArea type="data" outline="0" fieldPosition="0">
        <references count="2">
          <reference field="4294967294" count="1" selected="0">
            <x v="0"/>
          </reference>
          <reference field="1" count="1" selected="0">
            <x v="7"/>
          </reference>
        </references>
      </pivotArea>
    </chartFormat>
    <chartFormat chart="2" format="14">
      <pivotArea type="data" outline="0" fieldPosition="0">
        <references count="2">
          <reference field="4294967294" count="1" selected="0">
            <x v="0"/>
          </reference>
          <reference field="1" count="1" selected="0">
            <x v="8"/>
          </reference>
        </references>
      </pivotArea>
    </chartFormat>
    <chartFormat chart="2" format="15">
      <pivotArea type="data" outline="0" fieldPosition="0">
        <references count="2">
          <reference field="4294967294" count="1" selected="0">
            <x v="0"/>
          </reference>
          <reference field="1" count="1" selected="0">
            <x v="9"/>
          </reference>
        </references>
      </pivotArea>
    </chartFormat>
    <chartFormat chart="3" format="16" series="1">
      <pivotArea type="data" outline="0" fieldPosition="0">
        <references count="1">
          <reference field="4294967294" count="1" selected="0">
            <x v="0"/>
          </reference>
        </references>
      </pivotArea>
    </chartFormat>
    <chartFormat chart="3" format="17">
      <pivotArea type="data" outline="0" fieldPosition="0">
        <references count="2">
          <reference field="4294967294" count="1" selected="0">
            <x v="0"/>
          </reference>
          <reference field="1" count="1" selected="0">
            <x v="1"/>
          </reference>
        </references>
      </pivotArea>
    </chartFormat>
    <chartFormat chart="3" format="18">
      <pivotArea type="data" outline="0" fieldPosition="0">
        <references count="2">
          <reference field="4294967294" count="1" selected="0">
            <x v="0"/>
          </reference>
          <reference field="1" count="1" selected="0">
            <x v="2"/>
          </reference>
        </references>
      </pivotArea>
    </chartFormat>
    <chartFormat chart="3" format="19">
      <pivotArea type="data" outline="0" fieldPosition="0">
        <references count="2">
          <reference field="4294967294" count="1" selected="0">
            <x v="0"/>
          </reference>
          <reference field="1" count="1" selected="0">
            <x v="4"/>
          </reference>
        </references>
      </pivotArea>
    </chartFormat>
    <chartFormat chart="3" format="20">
      <pivotArea type="data" outline="0" fieldPosition="0">
        <references count="2">
          <reference field="4294967294" count="1" selected="0">
            <x v="0"/>
          </reference>
          <reference field="1" count="1" selected="0">
            <x v="5"/>
          </reference>
        </references>
      </pivotArea>
    </chartFormat>
    <chartFormat chart="3" format="21">
      <pivotArea type="data" outline="0" fieldPosition="0">
        <references count="2">
          <reference field="4294967294" count="1" selected="0">
            <x v="0"/>
          </reference>
          <reference field="1" count="1" selected="0">
            <x v="7"/>
          </reference>
        </references>
      </pivotArea>
    </chartFormat>
    <chartFormat chart="3" format="22">
      <pivotArea type="data" outline="0" fieldPosition="0">
        <references count="2">
          <reference field="4294967294" count="1" selected="0">
            <x v="0"/>
          </reference>
          <reference field="1" count="1" selected="0">
            <x v="8"/>
          </reference>
        </references>
      </pivotArea>
    </chartFormat>
    <chartFormat chart="3" format="23">
      <pivotArea type="data" outline="0" fieldPosition="0">
        <references count="2">
          <reference field="4294967294" count="1" selected="0">
            <x v="0"/>
          </reference>
          <reference field="1"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472C180-8C8B-49E2-A527-350DE84EC30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E3:F11" firstHeaderRow="1" firstDataRow="1" firstDataCol="1"/>
  <pivotFields count="9">
    <pivotField showAll="0"/>
    <pivotField showAll="0">
      <items count="11">
        <item x="9"/>
        <item x="2"/>
        <item x="3"/>
        <item x="4"/>
        <item x="1"/>
        <item x="5"/>
        <item x="0"/>
        <item x="6"/>
        <item x="7"/>
        <item x="8"/>
        <item t="default"/>
      </items>
    </pivotField>
    <pivotField showAll="0">
      <items count="5">
        <item x="3"/>
        <item x="1"/>
        <item x="0"/>
        <item x="2"/>
        <item t="default"/>
      </items>
    </pivotField>
    <pivotField axis="axisRow" showAll="0">
      <items count="8">
        <item x="4"/>
        <item x="0"/>
        <item x="3"/>
        <item x="5"/>
        <item x="6"/>
        <item x="1"/>
        <item x="2"/>
        <item t="default"/>
      </items>
    </pivotField>
    <pivotField showAll="0"/>
    <pivotField showAll="0"/>
    <pivotField showAll="0"/>
    <pivotField dataField="1" showAll="0"/>
    <pivotField showAll="0"/>
  </pivotFields>
  <rowFields count="1">
    <field x="3"/>
  </rowFields>
  <rowItems count="8">
    <i>
      <x/>
    </i>
    <i>
      <x v="1"/>
    </i>
    <i>
      <x v="2"/>
    </i>
    <i>
      <x v="3"/>
    </i>
    <i>
      <x v="4"/>
    </i>
    <i>
      <x v="5"/>
    </i>
    <i>
      <x v="6"/>
    </i>
    <i t="grand">
      <x/>
    </i>
  </rowItems>
  <colItems count="1">
    <i/>
  </colItems>
  <dataFields count="1">
    <dataField name="Sum of Total Sales" fld="7" baseField="0" baseItem="0"/>
  </dataFields>
  <formats count="3">
    <format dxfId="3">
      <pivotArea collapsedLevelsAreSubtotals="1" fieldPosition="0">
        <references count="1">
          <reference field="3" count="6">
            <x v="1"/>
            <x v="2"/>
            <x v="3"/>
            <x v="4"/>
            <x v="5"/>
            <x v="6"/>
          </reference>
        </references>
      </pivotArea>
    </format>
    <format dxfId="2">
      <pivotArea grandRow="1" outline="0" collapsedLevelsAreSubtotals="1" fieldPosition="0"/>
    </format>
    <format dxfId="1">
      <pivotArea collapsedLevelsAreSubtotals="1" fieldPosition="0">
        <references count="1">
          <reference field="3" count="1">
            <x v="0"/>
          </reference>
        </references>
      </pivotArea>
    </format>
  </formats>
  <chartFormats count="4">
    <chartFormat chart="6" format="0" series="1">
      <pivotArea type="data" outline="0" fieldPosition="0">
        <references count="1">
          <reference field="4294967294" count="1" selected="0">
            <x v="0"/>
          </reference>
        </references>
      </pivotArea>
    </chartFormat>
    <chartFormat chart="6" format="1">
      <pivotArea type="data" outline="0" fieldPosition="0">
        <references count="2">
          <reference field="4294967294" count="1" selected="0">
            <x v="0"/>
          </reference>
          <reference field="3" count="1" selected="0">
            <x v="4"/>
          </reference>
        </references>
      </pivotArea>
    </chartFormat>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7086239-1D12-4A53-BB54-B0E10E36BA6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8" firstHeaderRow="1" firstDataRow="1" firstDataCol="1"/>
  <pivotFields count="9">
    <pivotField showAll="0"/>
    <pivotField showAll="0">
      <items count="11">
        <item x="9"/>
        <item x="2"/>
        <item x="3"/>
        <item x="4"/>
        <item x="1"/>
        <item x="5"/>
        <item x="0"/>
        <item x="6"/>
        <item x="7"/>
        <item x="8"/>
        <item t="default"/>
      </items>
    </pivotField>
    <pivotField axis="axisRow" showAll="0">
      <items count="5">
        <item x="3"/>
        <item x="1"/>
        <item x="0"/>
        <item x="2"/>
        <item t="default"/>
      </items>
    </pivotField>
    <pivotField showAll="0">
      <items count="8">
        <item x="4"/>
        <item x="0"/>
        <item x="3"/>
        <item x="5"/>
        <item x="6"/>
        <item x="1"/>
        <item x="2"/>
        <item t="default"/>
      </items>
    </pivotField>
    <pivotField showAll="0"/>
    <pivotField showAll="0"/>
    <pivotField showAll="0"/>
    <pivotField dataField="1" showAll="0"/>
    <pivotField showAll="0"/>
  </pivotFields>
  <rowFields count="1">
    <field x="2"/>
  </rowFields>
  <rowItems count="5">
    <i>
      <x/>
    </i>
    <i>
      <x v="1"/>
    </i>
    <i>
      <x v="2"/>
    </i>
    <i>
      <x v="3"/>
    </i>
    <i t="grand">
      <x/>
    </i>
  </rowItems>
  <colItems count="1">
    <i/>
  </colItems>
  <dataFields count="1">
    <dataField name="Sum of Total Sales" fld="7" baseField="0" baseItem="0" numFmtId="164"/>
  </dataFields>
  <formats count="2">
    <format dxfId="5">
      <pivotArea collapsedLevelsAreSubtotals="1" fieldPosition="0">
        <references count="1">
          <reference field="2" count="1">
            <x v="0"/>
          </reference>
        </references>
      </pivotArea>
    </format>
    <format dxfId="4">
      <pivotArea outline="0" collapsedLevelsAreSubtotals="1" fieldPosition="0"/>
    </format>
  </formats>
  <chartFormats count="10">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0"/>
          </reference>
        </references>
      </pivotArea>
    </chartFormat>
    <chartFormat chart="0" format="2">
      <pivotArea type="data" outline="0" fieldPosition="0">
        <references count="2">
          <reference field="4294967294" count="1" selected="0">
            <x v="0"/>
          </reference>
          <reference field="2" count="1" selected="0">
            <x v="1"/>
          </reference>
        </references>
      </pivotArea>
    </chartFormat>
    <chartFormat chart="0" format="3">
      <pivotArea type="data" outline="0" fieldPosition="0">
        <references count="2">
          <reference field="4294967294" count="1" selected="0">
            <x v="0"/>
          </reference>
          <reference field="2" count="1" selected="0">
            <x v="3"/>
          </reference>
        </references>
      </pivotArea>
    </chartFormat>
    <chartFormat chart="0" format="4">
      <pivotArea type="data" outline="0" fieldPosition="0">
        <references count="2">
          <reference field="4294967294" count="1" selected="0">
            <x v="0"/>
          </reference>
          <reference field="2" count="1" selected="0">
            <x v="2"/>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2" count="1" selected="0">
            <x v="0"/>
          </reference>
        </references>
      </pivotArea>
    </chartFormat>
    <chartFormat chart="4" format="12">
      <pivotArea type="data" outline="0" fieldPosition="0">
        <references count="2">
          <reference field="4294967294" count="1" selected="0">
            <x v="0"/>
          </reference>
          <reference field="2" count="1" selected="0">
            <x v="1"/>
          </reference>
        </references>
      </pivotArea>
    </chartFormat>
    <chartFormat chart="4" format="13">
      <pivotArea type="data" outline="0" fieldPosition="0">
        <references count="2">
          <reference field="4294967294" count="1" selected="0">
            <x v="0"/>
          </reference>
          <reference field="2" count="1" selected="0">
            <x v="2"/>
          </reference>
        </references>
      </pivotArea>
    </chartFormat>
    <chartFormat chart="4"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8D3EAA9-1187-4679-A858-C38C0FDC109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K3:L11" firstHeaderRow="1" firstDataRow="1" firstDataCol="1"/>
  <pivotFields count="9">
    <pivotField showAll="0"/>
    <pivotField showAll="0">
      <items count="11">
        <item x="9"/>
        <item x="2"/>
        <item x="3"/>
        <item x="4"/>
        <item x="1"/>
        <item x="5"/>
        <item x="0"/>
        <item x="6"/>
        <item x="7"/>
        <item x="8"/>
        <item t="default"/>
      </items>
    </pivotField>
    <pivotField showAll="0">
      <items count="5">
        <item x="3"/>
        <item x="1"/>
        <item x="0"/>
        <item x="2"/>
        <item t="default"/>
      </items>
    </pivotField>
    <pivotField axis="axisRow" showAll="0">
      <items count="8">
        <item x="4"/>
        <item x="0"/>
        <item x="3"/>
        <item x="5"/>
        <item x="6"/>
        <item x="1"/>
        <item x="2"/>
        <item t="default"/>
      </items>
    </pivotField>
    <pivotField dataField="1" showAll="0"/>
    <pivotField showAll="0"/>
    <pivotField showAll="0"/>
    <pivotField showAll="0"/>
    <pivotField showAll="0"/>
  </pivotFields>
  <rowFields count="1">
    <field x="3"/>
  </rowFields>
  <rowItems count="8">
    <i>
      <x/>
    </i>
    <i>
      <x v="1"/>
    </i>
    <i>
      <x v="2"/>
    </i>
    <i>
      <x v="3"/>
    </i>
    <i>
      <x v="4"/>
    </i>
    <i>
      <x v="5"/>
    </i>
    <i>
      <x v="6"/>
    </i>
    <i t="grand">
      <x/>
    </i>
  </rowItems>
  <colItems count="1">
    <i/>
  </colItems>
  <dataFields count="1">
    <dataField name="Sum of Units Sold" fld="4" baseField="0" baseItem="0"/>
  </dataFields>
  <chartFormats count="3">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3" count="1" selected="0">
            <x v="4"/>
          </reference>
        </references>
      </pivotArea>
    </chartFormat>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Person" xr10:uid="{61C74B75-8900-47A9-8533-27BB9A951686}" sourceName="Sales Person">
  <pivotTables>
    <pivotTable tabId="2" name="PivotTable1"/>
    <pivotTable tabId="2" name="PivotTable2"/>
    <pivotTable tabId="2" name="PivotTable3"/>
    <pivotTable tabId="2" name="PivotTable4"/>
  </pivotTables>
  <data>
    <tabular pivotCacheId="197693420">
      <items count="10">
        <i x="9" s="1"/>
        <i x="2" s="1"/>
        <i x="3" s="1"/>
        <i x="4" s="1"/>
        <i x="1" s="1"/>
        <i x="5" s="1"/>
        <i x="0" s="1"/>
        <i x="6" s="1"/>
        <i x="7" s="1"/>
        <i x="8"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4411B8B-F2F2-42AE-8986-EAE9996735AB}" sourceName="Region">
  <pivotTables>
    <pivotTable tabId="2" name="PivotTable1"/>
    <pivotTable tabId="2" name="PivotTable2"/>
    <pivotTable tabId="2" name="PivotTable3"/>
    <pivotTable tabId="2" name="PivotTable4"/>
  </pivotTables>
  <data>
    <tabular pivotCacheId="197693420">
      <items count="4">
        <i x="3" s="1"/>
        <i x="1" s="1"/>
        <i x="0" s="1"/>
        <i x="2" s="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5E1FC333-C04C-4AED-8A68-DED04425798E}" sourceName="Product">
  <pivotTables>
    <pivotTable tabId="2" name="PivotTable1"/>
    <pivotTable tabId="2" name="PivotTable2"/>
    <pivotTable tabId="2" name="PivotTable3"/>
    <pivotTable tabId="2" name="PivotTable4"/>
  </pivotTables>
  <data>
    <tabular pivotCacheId="197693420">
      <items count="7">
        <i x="4" s="1"/>
        <i x="0" s="1"/>
        <i x="3" s="1"/>
        <i x="5" s="1"/>
        <i x="6"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xr10:uid="{33EF6AEA-0635-4955-96F5-A404A7FCCEB6}" cache="Slicer_Sales_Person" caption="Sales Person" rowHeight="234950"/>
  <slicer name="Region" xr10:uid="{C5A1AC2B-5D6C-480E-B962-3B927EA33FFE}" cache="Slicer_Region" caption="Region" columnCount="2" showCaption="0" rowHeight="234950"/>
  <slicer name="Product" xr10:uid="{26E31795-E9D9-40CD-B2E4-623A8C12B5D4}"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Person 1" xr10:uid="{A0DE384F-D514-44BA-B25B-52921790554B}" cache="Slicer_Sales_Person" caption="Sales Person" style="SlicerStyleDark1" rowHeight="234950"/>
  <slicer name="Region 1" xr10:uid="{64FC364F-FCEE-4F89-BEE6-3A41CA67A85B}" cache="Slicer_Region" caption="Region" columnCount="2" showCaption="0" style="SlicerStyleDark1" rowHeight="234950"/>
  <slicer name="Product 1" xr10:uid="{A75788D8-23F1-408E-8FBB-27F0D161F66A}" cache="Slicer_Product" caption="Product" style="SlicerStyleDark1"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02CDEAE-BFEC-4925-A558-662CAA3474F1}" name="Table1" displayName="Table1" ref="A1:I2001" totalsRowShown="0">
  <autoFilter ref="A1:I2001" xr:uid="{B02CDEAE-BFEC-4925-A558-662CAA3474F1}"/>
  <tableColumns count="9">
    <tableColumn id="1" xr3:uid="{3DD47879-6927-45DF-9CE9-1539C4BCD037}" name="Date"/>
    <tableColumn id="2" xr3:uid="{6A876E93-9CCC-40F8-BCFF-3694E4B6C991}" name="Sales Person"/>
    <tableColumn id="3" xr3:uid="{7877BDC4-CF89-4E1C-8500-5ECE1AF62EC1}" name="Region"/>
    <tableColumn id="4" xr3:uid="{723BFC6D-AF32-4F0D-BEB3-04A1292040B0}" name="Product"/>
    <tableColumn id="5" xr3:uid="{1696D261-2C84-4FEA-90FB-803A2587D85B}" name="Units Sold"/>
    <tableColumn id="6" xr3:uid="{55129942-BD7F-4C58-8BC6-13CC339BFDF6}" name="Unit Price" dataDxfId="9" dataCellStyle="Currency"/>
    <tableColumn id="7" xr3:uid="{8986634A-62A5-413C-A1EF-29EA03EB0F4B}" name="Cost of Goods" dataDxfId="8" dataCellStyle="Currency"/>
    <tableColumn id="8" xr3:uid="{9778930D-3A03-4B1D-92C8-779D2702D863}" name="Total Sales" dataDxfId="7" dataCellStyle="Currency"/>
    <tableColumn id="9" xr3:uid="{DA54E8F6-EF36-4D83-8F2B-6048816D8904}" name="Profit" dataDxfId="6">
      <calculatedColumnFormula>H2-(G2*E2)</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DB36D0-E4AF-4C0A-B58B-F673D9839455}">
  <dimension ref="A3:L14"/>
  <sheetViews>
    <sheetView topLeftCell="A12" workbookViewId="0">
      <selection activeCell="C38" sqref="C38"/>
    </sheetView>
  </sheetViews>
  <sheetFormatPr defaultRowHeight="14.4" x14ac:dyDescent="0.3"/>
  <cols>
    <col min="1" max="1" width="12.5546875" bestFit="1" customWidth="1"/>
    <col min="2" max="2" width="16.44140625" bestFit="1" customWidth="1"/>
    <col min="5" max="5" width="12.5546875" bestFit="1" customWidth="1"/>
    <col min="6" max="6" width="16.44140625" bestFit="1" customWidth="1"/>
    <col min="8" max="8" width="12.5546875" bestFit="1" customWidth="1"/>
    <col min="9" max="9" width="16.44140625" bestFit="1" customWidth="1"/>
    <col min="11" max="11" width="12.5546875" bestFit="1" customWidth="1"/>
    <col min="12" max="12" width="16" bestFit="1" customWidth="1"/>
  </cols>
  <sheetData>
    <row r="3" spans="1:12" x14ac:dyDescent="0.3">
      <c r="A3" s="2" t="s">
        <v>709</v>
      </c>
      <c r="B3" t="s">
        <v>710</v>
      </c>
      <c r="E3" s="2" t="s">
        <v>709</v>
      </c>
      <c r="F3" t="s">
        <v>710</v>
      </c>
      <c r="H3" s="2" t="s">
        <v>709</v>
      </c>
      <c r="I3" t="s">
        <v>710</v>
      </c>
      <c r="K3" s="2" t="s">
        <v>709</v>
      </c>
      <c r="L3" t="s">
        <v>711</v>
      </c>
    </row>
    <row r="4" spans="1:12" x14ac:dyDescent="0.3">
      <c r="A4" s="3" t="s">
        <v>26</v>
      </c>
      <c r="B4" s="4">
        <v>183932000</v>
      </c>
      <c r="E4" s="3" t="s">
        <v>24</v>
      </c>
      <c r="F4" s="5">
        <v>31419600</v>
      </c>
      <c r="H4" s="3" t="s">
        <v>58</v>
      </c>
      <c r="I4" s="4">
        <v>67355600</v>
      </c>
      <c r="K4" s="3" t="s">
        <v>24</v>
      </c>
      <c r="L4">
        <v>26183</v>
      </c>
    </row>
    <row r="5" spans="1:12" x14ac:dyDescent="0.3">
      <c r="A5" s="3" t="s">
        <v>14</v>
      </c>
      <c r="B5" s="4">
        <v>184419800</v>
      </c>
      <c r="E5" s="3" t="s">
        <v>11</v>
      </c>
      <c r="F5" s="4">
        <v>106907500</v>
      </c>
      <c r="H5" s="3" t="s">
        <v>20</v>
      </c>
      <c r="I5" s="4">
        <v>68959600</v>
      </c>
      <c r="K5" s="3" t="s">
        <v>11</v>
      </c>
      <c r="L5">
        <v>30545</v>
      </c>
    </row>
    <row r="6" spans="1:12" x14ac:dyDescent="0.3">
      <c r="A6" s="3" t="s">
        <v>10</v>
      </c>
      <c r="B6" s="4">
        <v>187418400</v>
      </c>
      <c r="E6" s="3" t="s">
        <v>21</v>
      </c>
      <c r="F6" s="4">
        <v>17709600</v>
      </c>
      <c r="H6" s="3" t="s">
        <v>23</v>
      </c>
      <c r="I6" s="4">
        <v>78744700</v>
      </c>
      <c r="K6" s="3" t="s">
        <v>21</v>
      </c>
      <c r="L6">
        <v>29516</v>
      </c>
    </row>
    <row r="7" spans="1:12" x14ac:dyDescent="0.3">
      <c r="A7" s="3" t="s">
        <v>17</v>
      </c>
      <c r="B7" s="4">
        <v>178192500</v>
      </c>
      <c r="E7" s="3" t="s">
        <v>31</v>
      </c>
      <c r="F7" s="4">
        <v>32112000</v>
      </c>
      <c r="H7" s="3" t="s">
        <v>28</v>
      </c>
      <c r="I7" s="4">
        <v>78730000</v>
      </c>
      <c r="K7" s="3" t="s">
        <v>31</v>
      </c>
      <c r="L7">
        <v>32112</v>
      </c>
    </row>
    <row r="8" spans="1:12" x14ac:dyDescent="0.3">
      <c r="A8" s="3" t="s">
        <v>704</v>
      </c>
      <c r="B8" s="4">
        <v>733962700</v>
      </c>
      <c r="E8" s="3" t="s">
        <v>34</v>
      </c>
      <c r="F8" s="4">
        <v>267190000</v>
      </c>
      <c r="H8" s="3" t="s">
        <v>13</v>
      </c>
      <c r="I8" s="4">
        <v>81204000</v>
      </c>
      <c r="K8" s="3" t="s">
        <v>34</v>
      </c>
      <c r="L8">
        <v>26719</v>
      </c>
    </row>
    <row r="9" spans="1:12" x14ac:dyDescent="0.3">
      <c r="E9" s="3" t="s">
        <v>15</v>
      </c>
      <c r="F9" s="4">
        <v>110348000</v>
      </c>
      <c r="H9" s="3" t="s">
        <v>30</v>
      </c>
      <c r="I9" s="4">
        <v>75158400</v>
      </c>
      <c r="K9" s="3" t="s">
        <v>15</v>
      </c>
      <c r="L9">
        <v>27587</v>
      </c>
    </row>
    <row r="10" spans="1:12" x14ac:dyDescent="0.3">
      <c r="E10" s="3" t="s">
        <v>18</v>
      </c>
      <c r="F10" s="4">
        <v>168276000</v>
      </c>
      <c r="H10" s="3" t="s">
        <v>9</v>
      </c>
      <c r="I10" s="4">
        <v>75108600</v>
      </c>
      <c r="K10" s="3" t="s">
        <v>18</v>
      </c>
      <c r="L10">
        <v>28046</v>
      </c>
    </row>
    <row r="11" spans="1:12" x14ac:dyDescent="0.3">
      <c r="E11" s="3" t="s">
        <v>704</v>
      </c>
      <c r="F11" s="4">
        <v>733962700</v>
      </c>
      <c r="H11" s="3" t="s">
        <v>36</v>
      </c>
      <c r="I11" s="4">
        <v>78071900</v>
      </c>
      <c r="K11" s="3" t="s">
        <v>704</v>
      </c>
      <c r="L11">
        <v>200708</v>
      </c>
    </row>
    <row r="12" spans="1:12" x14ac:dyDescent="0.3">
      <c r="H12" s="3" t="s">
        <v>40</v>
      </c>
      <c r="I12" s="4">
        <v>62032900</v>
      </c>
    </row>
    <row r="13" spans="1:12" x14ac:dyDescent="0.3">
      <c r="H13" s="3" t="s">
        <v>43</v>
      </c>
      <c r="I13" s="4">
        <v>68597000</v>
      </c>
    </row>
    <row r="14" spans="1:12" x14ac:dyDescent="0.3">
      <c r="H14" s="3" t="s">
        <v>704</v>
      </c>
      <c r="I14" s="4">
        <v>733962700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94BD06-3FFE-4415-B8DA-8B3507001079}">
  <dimension ref="A1"/>
  <sheetViews>
    <sheetView showGridLines="0" showRowColHeaders="0" tabSelected="1" workbookViewId="0">
      <selection activeCell="W6" sqref="W6"/>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001"/>
  <sheetViews>
    <sheetView workbookViewId="0">
      <selection activeCell="O12" sqref="O12"/>
    </sheetView>
  </sheetViews>
  <sheetFormatPr defaultRowHeight="14.4" x14ac:dyDescent="0.3"/>
  <cols>
    <col min="2" max="2" width="13.33203125" customWidth="1"/>
    <col min="4" max="4" width="9.5546875" customWidth="1"/>
    <col min="5" max="5" width="11.33203125" customWidth="1"/>
    <col min="6" max="6" width="11" style="6" customWidth="1"/>
    <col min="7" max="7" width="14.5546875" style="6" customWidth="1"/>
    <col min="8" max="8" width="11.77734375" style="6" customWidth="1"/>
    <col min="9" max="9" width="11.77734375" style="5" customWidth="1"/>
    <col min="12" max="12" width="13.6640625" customWidth="1"/>
    <col min="15" max="15" width="10.21875" bestFit="1" customWidth="1"/>
  </cols>
  <sheetData>
    <row r="1" spans="1:15" x14ac:dyDescent="0.3">
      <c r="A1" t="s">
        <v>0</v>
      </c>
      <c r="B1" t="s">
        <v>1</v>
      </c>
      <c r="C1" t="s">
        <v>2</v>
      </c>
      <c r="D1" t="s">
        <v>3</v>
      </c>
      <c r="E1" t="s">
        <v>4</v>
      </c>
      <c r="F1" s="6" t="s">
        <v>5</v>
      </c>
      <c r="G1" s="6" t="s">
        <v>6</v>
      </c>
      <c r="H1" s="6" t="s">
        <v>7</v>
      </c>
      <c r="I1" s="5" t="s">
        <v>706</v>
      </c>
    </row>
    <row r="2" spans="1:15" x14ac:dyDescent="0.3">
      <c r="A2" t="s">
        <v>8</v>
      </c>
      <c r="B2" t="s">
        <v>9</v>
      </c>
      <c r="C2" t="s">
        <v>10</v>
      </c>
      <c r="D2" t="s">
        <v>11</v>
      </c>
      <c r="E2">
        <v>150</v>
      </c>
      <c r="F2" s="6">
        <v>3500</v>
      </c>
      <c r="G2" s="6">
        <v>2500</v>
      </c>
      <c r="H2" s="6">
        <v>525000</v>
      </c>
      <c r="I2" s="5">
        <f t="shared" ref="I2:I65" si="0">H2-(G2*E2)</f>
        <v>150000</v>
      </c>
    </row>
    <row r="3" spans="1:15" x14ac:dyDescent="0.3">
      <c r="A3" t="s">
        <v>12</v>
      </c>
      <c r="B3" t="s">
        <v>13</v>
      </c>
      <c r="C3" t="s">
        <v>14</v>
      </c>
      <c r="D3" t="s">
        <v>15</v>
      </c>
      <c r="E3">
        <v>84</v>
      </c>
      <c r="F3" s="6">
        <v>4000</v>
      </c>
      <c r="G3" s="6">
        <v>3000</v>
      </c>
      <c r="H3" s="6">
        <v>336000</v>
      </c>
      <c r="I3" s="5">
        <f t="shared" si="0"/>
        <v>84000</v>
      </c>
      <c r="L3" s="1" t="s">
        <v>704</v>
      </c>
    </row>
    <row r="4" spans="1:15" x14ac:dyDescent="0.3">
      <c r="A4" t="s">
        <v>16</v>
      </c>
      <c r="B4" t="s">
        <v>13</v>
      </c>
      <c r="C4" t="s">
        <v>17</v>
      </c>
      <c r="D4" t="s">
        <v>18</v>
      </c>
      <c r="E4">
        <v>101</v>
      </c>
      <c r="F4" s="6">
        <v>6000</v>
      </c>
      <c r="G4" s="6">
        <v>4000</v>
      </c>
      <c r="H4" s="6">
        <v>606000</v>
      </c>
      <c r="I4" s="5">
        <f t="shared" si="0"/>
        <v>202000</v>
      </c>
      <c r="L4" s="6">
        <f>SUM(H:H)</f>
        <v>733962700</v>
      </c>
    </row>
    <row r="5" spans="1:15" x14ac:dyDescent="0.3">
      <c r="A5" t="s">
        <v>19</v>
      </c>
      <c r="B5" t="s">
        <v>20</v>
      </c>
      <c r="C5" t="s">
        <v>17</v>
      </c>
      <c r="D5" t="s">
        <v>21</v>
      </c>
      <c r="E5">
        <v>133</v>
      </c>
      <c r="F5" s="6">
        <v>600</v>
      </c>
      <c r="G5" s="6">
        <v>400</v>
      </c>
      <c r="H5" s="6">
        <v>79800</v>
      </c>
      <c r="I5" s="5">
        <f t="shared" si="0"/>
        <v>26600</v>
      </c>
      <c r="O5" s="4"/>
    </row>
    <row r="6" spans="1:15" x14ac:dyDescent="0.3">
      <c r="A6" t="s">
        <v>22</v>
      </c>
      <c r="B6" t="s">
        <v>23</v>
      </c>
      <c r="C6" t="s">
        <v>10</v>
      </c>
      <c r="D6" t="s">
        <v>24</v>
      </c>
      <c r="E6">
        <v>86</v>
      </c>
      <c r="F6" s="6">
        <v>1200</v>
      </c>
      <c r="G6" s="6">
        <v>800</v>
      </c>
      <c r="H6" s="6">
        <v>103200</v>
      </c>
      <c r="I6" s="5">
        <f t="shared" si="0"/>
        <v>34400</v>
      </c>
      <c r="L6" s="1" t="s">
        <v>708</v>
      </c>
      <c r="O6" s="4"/>
    </row>
    <row r="7" spans="1:15" x14ac:dyDescent="0.3">
      <c r="A7" t="s">
        <v>25</v>
      </c>
      <c r="B7" t="s">
        <v>9</v>
      </c>
      <c r="C7" t="s">
        <v>26</v>
      </c>
      <c r="D7" t="s">
        <v>15</v>
      </c>
      <c r="E7">
        <v>113</v>
      </c>
      <c r="F7" s="6">
        <v>4000</v>
      </c>
      <c r="G7" s="6">
        <v>3000</v>
      </c>
      <c r="H7" s="6">
        <v>452000</v>
      </c>
      <c r="I7" s="5">
        <f t="shared" si="0"/>
        <v>113000</v>
      </c>
      <c r="L7">
        <f>SUM(E:E)</f>
        <v>200708</v>
      </c>
    </row>
    <row r="8" spans="1:15" x14ac:dyDescent="0.3">
      <c r="A8" t="s">
        <v>27</v>
      </c>
      <c r="B8" t="s">
        <v>28</v>
      </c>
      <c r="C8" t="s">
        <v>10</v>
      </c>
      <c r="D8" t="s">
        <v>24</v>
      </c>
      <c r="E8">
        <v>105</v>
      </c>
      <c r="F8" s="6">
        <v>1200</v>
      </c>
      <c r="G8" s="6">
        <v>800</v>
      </c>
      <c r="H8" s="6">
        <v>126000</v>
      </c>
      <c r="I8" s="5">
        <f t="shared" si="0"/>
        <v>42000</v>
      </c>
    </row>
    <row r="9" spans="1:15" x14ac:dyDescent="0.3">
      <c r="A9" t="s">
        <v>29</v>
      </c>
      <c r="B9" t="s">
        <v>30</v>
      </c>
      <c r="C9" t="s">
        <v>26</v>
      </c>
      <c r="D9" t="s">
        <v>31</v>
      </c>
      <c r="E9">
        <v>54</v>
      </c>
      <c r="F9" s="6">
        <v>1000</v>
      </c>
      <c r="G9" s="6">
        <v>700</v>
      </c>
      <c r="H9" s="6">
        <v>54000</v>
      </c>
      <c r="I9" s="5">
        <f t="shared" si="0"/>
        <v>16200</v>
      </c>
      <c r="L9" s="1" t="s">
        <v>705</v>
      </c>
    </row>
    <row r="10" spans="1:15" x14ac:dyDescent="0.3">
      <c r="A10" t="s">
        <v>32</v>
      </c>
      <c r="B10" t="s">
        <v>23</v>
      </c>
      <c r="C10" t="s">
        <v>17</v>
      </c>
      <c r="D10" t="s">
        <v>24</v>
      </c>
      <c r="E10">
        <v>143</v>
      </c>
      <c r="F10" s="6">
        <v>1200</v>
      </c>
      <c r="G10" s="6">
        <v>800</v>
      </c>
      <c r="H10" s="6">
        <v>171600</v>
      </c>
      <c r="I10" s="5">
        <f t="shared" si="0"/>
        <v>57200</v>
      </c>
      <c r="L10" s="6">
        <f>AVERAGE(H:H)</f>
        <v>366981.35</v>
      </c>
    </row>
    <row r="11" spans="1:15" x14ac:dyDescent="0.3">
      <c r="A11" t="s">
        <v>33</v>
      </c>
      <c r="B11" t="s">
        <v>23</v>
      </c>
      <c r="C11" t="s">
        <v>14</v>
      </c>
      <c r="D11" t="s">
        <v>34</v>
      </c>
      <c r="E11">
        <v>62</v>
      </c>
      <c r="F11" s="6">
        <v>10000</v>
      </c>
      <c r="G11" s="6">
        <v>7000</v>
      </c>
      <c r="H11" s="6">
        <v>620000</v>
      </c>
      <c r="I11" s="5">
        <f t="shared" si="0"/>
        <v>186000</v>
      </c>
    </row>
    <row r="12" spans="1:15" x14ac:dyDescent="0.3">
      <c r="A12" t="s">
        <v>35</v>
      </c>
      <c r="B12" t="s">
        <v>36</v>
      </c>
      <c r="C12" t="s">
        <v>26</v>
      </c>
      <c r="D12" t="s">
        <v>34</v>
      </c>
      <c r="E12">
        <v>114</v>
      </c>
      <c r="F12" s="6">
        <v>10000</v>
      </c>
      <c r="G12" s="6">
        <v>7000</v>
      </c>
      <c r="H12" s="6">
        <v>1140000</v>
      </c>
      <c r="I12" s="5">
        <f t="shared" si="0"/>
        <v>342000</v>
      </c>
      <c r="L12" s="1" t="s">
        <v>707</v>
      </c>
    </row>
    <row r="13" spans="1:15" x14ac:dyDescent="0.3">
      <c r="A13" t="s">
        <v>37</v>
      </c>
      <c r="B13" t="s">
        <v>28</v>
      </c>
      <c r="C13" t="s">
        <v>26</v>
      </c>
      <c r="D13" t="s">
        <v>18</v>
      </c>
      <c r="E13">
        <v>129</v>
      </c>
      <c r="F13" s="6">
        <v>6000</v>
      </c>
      <c r="G13" s="6">
        <v>4000</v>
      </c>
      <c r="H13" s="6">
        <v>774000</v>
      </c>
      <c r="I13" s="5">
        <f t="shared" si="0"/>
        <v>258000</v>
      </c>
      <c r="L13" s="6">
        <f>SUM(I:I)</f>
        <v>220391000</v>
      </c>
    </row>
    <row r="14" spans="1:15" x14ac:dyDescent="0.3">
      <c r="A14" t="s">
        <v>38</v>
      </c>
      <c r="B14" t="s">
        <v>28</v>
      </c>
      <c r="C14" t="s">
        <v>14</v>
      </c>
      <c r="D14" t="s">
        <v>21</v>
      </c>
      <c r="E14">
        <v>63</v>
      </c>
      <c r="F14" s="6">
        <v>600</v>
      </c>
      <c r="G14" s="6">
        <v>400</v>
      </c>
      <c r="H14" s="6">
        <v>37800</v>
      </c>
      <c r="I14" s="5">
        <f t="shared" si="0"/>
        <v>12600</v>
      </c>
    </row>
    <row r="15" spans="1:15" x14ac:dyDescent="0.3">
      <c r="A15" t="s">
        <v>39</v>
      </c>
      <c r="B15" t="s">
        <v>40</v>
      </c>
      <c r="C15" t="s">
        <v>17</v>
      </c>
      <c r="D15" t="s">
        <v>21</v>
      </c>
      <c r="E15">
        <v>100</v>
      </c>
      <c r="F15" s="6">
        <v>600</v>
      </c>
      <c r="G15" s="6">
        <v>400</v>
      </c>
      <c r="H15" s="6">
        <v>60000</v>
      </c>
      <c r="I15" s="5">
        <f t="shared" si="0"/>
        <v>20000</v>
      </c>
    </row>
    <row r="16" spans="1:15" x14ac:dyDescent="0.3">
      <c r="A16" t="s">
        <v>41</v>
      </c>
      <c r="B16" t="s">
        <v>40</v>
      </c>
      <c r="C16" t="s">
        <v>14</v>
      </c>
      <c r="D16" t="s">
        <v>24</v>
      </c>
      <c r="E16">
        <v>143</v>
      </c>
      <c r="F16" s="6">
        <v>1200</v>
      </c>
      <c r="G16" s="6">
        <v>800</v>
      </c>
      <c r="H16" s="6">
        <v>171600</v>
      </c>
      <c r="I16" s="5">
        <f t="shared" si="0"/>
        <v>57200</v>
      </c>
    </row>
    <row r="17" spans="1:9" x14ac:dyDescent="0.3">
      <c r="A17" t="s">
        <v>42</v>
      </c>
      <c r="B17" t="s">
        <v>43</v>
      </c>
      <c r="C17" t="s">
        <v>17</v>
      </c>
      <c r="D17" t="s">
        <v>15</v>
      </c>
      <c r="E17">
        <v>147</v>
      </c>
      <c r="F17" s="6">
        <v>4000</v>
      </c>
      <c r="G17" s="6">
        <v>3000</v>
      </c>
      <c r="H17" s="6">
        <v>588000</v>
      </c>
      <c r="I17" s="5">
        <f t="shared" si="0"/>
        <v>147000</v>
      </c>
    </row>
    <row r="18" spans="1:9" x14ac:dyDescent="0.3">
      <c r="A18" t="s">
        <v>44</v>
      </c>
      <c r="B18" t="s">
        <v>13</v>
      </c>
      <c r="C18" t="s">
        <v>26</v>
      </c>
      <c r="D18" t="s">
        <v>11</v>
      </c>
      <c r="E18">
        <v>146</v>
      </c>
      <c r="F18" s="6">
        <v>3500</v>
      </c>
      <c r="G18" s="6">
        <v>2500</v>
      </c>
      <c r="H18" s="6">
        <v>511000</v>
      </c>
      <c r="I18" s="5">
        <f t="shared" si="0"/>
        <v>146000</v>
      </c>
    </row>
    <row r="19" spans="1:9" x14ac:dyDescent="0.3">
      <c r="A19" t="s">
        <v>45</v>
      </c>
      <c r="B19" t="s">
        <v>30</v>
      </c>
      <c r="C19" t="s">
        <v>26</v>
      </c>
      <c r="D19" t="s">
        <v>11</v>
      </c>
      <c r="E19">
        <v>115</v>
      </c>
      <c r="F19" s="6">
        <v>3500</v>
      </c>
      <c r="G19" s="6">
        <v>2500</v>
      </c>
      <c r="H19" s="6">
        <v>402500</v>
      </c>
      <c r="I19" s="5">
        <f t="shared" si="0"/>
        <v>115000</v>
      </c>
    </row>
    <row r="20" spans="1:9" x14ac:dyDescent="0.3">
      <c r="A20" t="s">
        <v>46</v>
      </c>
      <c r="B20" t="s">
        <v>28</v>
      </c>
      <c r="C20" t="s">
        <v>17</v>
      </c>
      <c r="D20" t="s">
        <v>11</v>
      </c>
      <c r="E20">
        <v>130</v>
      </c>
      <c r="F20" s="6">
        <v>3500</v>
      </c>
      <c r="G20" s="6">
        <v>2500</v>
      </c>
      <c r="H20" s="6">
        <v>455000</v>
      </c>
      <c r="I20" s="5">
        <f t="shared" si="0"/>
        <v>130000</v>
      </c>
    </row>
    <row r="21" spans="1:9" x14ac:dyDescent="0.3">
      <c r="A21" t="s">
        <v>47</v>
      </c>
      <c r="B21" t="s">
        <v>40</v>
      </c>
      <c r="C21" t="s">
        <v>17</v>
      </c>
      <c r="D21" t="s">
        <v>31</v>
      </c>
      <c r="E21">
        <v>52</v>
      </c>
      <c r="F21" s="6">
        <v>1000</v>
      </c>
      <c r="G21" s="6">
        <v>700</v>
      </c>
      <c r="H21" s="6">
        <v>52000</v>
      </c>
      <c r="I21" s="5">
        <f t="shared" si="0"/>
        <v>15600</v>
      </c>
    </row>
    <row r="22" spans="1:9" x14ac:dyDescent="0.3">
      <c r="A22" t="s">
        <v>48</v>
      </c>
      <c r="B22" t="s">
        <v>13</v>
      </c>
      <c r="C22" t="s">
        <v>26</v>
      </c>
      <c r="D22" t="s">
        <v>21</v>
      </c>
      <c r="E22">
        <v>137</v>
      </c>
      <c r="F22" s="6">
        <v>600</v>
      </c>
      <c r="G22" s="6">
        <v>400</v>
      </c>
      <c r="H22" s="6">
        <v>82200</v>
      </c>
      <c r="I22" s="5">
        <f t="shared" si="0"/>
        <v>27400</v>
      </c>
    </row>
    <row r="23" spans="1:9" x14ac:dyDescent="0.3">
      <c r="A23" t="s">
        <v>49</v>
      </c>
      <c r="B23" t="s">
        <v>13</v>
      </c>
      <c r="C23" t="s">
        <v>26</v>
      </c>
      <c r="D23" t="s">
        <v>18</v>
      </c>
      <c r="E23">
        <v>63</v>
      </c>
      <c r="F23" s="6">
        <v>6000</v>
      </c>
      <c r="G23" s="6">
        <v>4000</v>
      </c>
      <c r="H23" s="6">
        <v>378000</v>
      </c>
      <c r="I23" s="5">
        <f t="shared" si="0"/>
        <v>126000</v>
      </c>
    </row>
    <row r="24" spans="1:9" x14ac:dyDescent="0.3">
      <c r="A24" t="s">
        <v>50</v>
      </c>
      <c r="B24" t="s">
        <v>13</v>
      </c>
      <c r="C24" t="s">
        <v>26</v>
      </c>
      <c r="D24" t="s">
        <v>18</v>
      </c>
      <c r="E24">
        <v>107</v>
      </c>
      <c r="F24" s="6">
        <v>6000</v>
      </c>
      <c r="G24" s="6">
        <v>4000</v>
      </c>
      <c r="H24" s="6">
        <v>642000</v>
      </c>
      <c r="I24" s="5">
        <f t="shared" si="0"/>
        <v>214000</v>
      </c>
    </row>
    <row r="25" spans="1:9" x14ac:dyDescent="0.3">
      <c r="A25" t="s">
        <v>27</v>
      </c>
      <c r="B25" t="s">
        <v>20</v>
      </c>
      <c r="C25" t="s">
        <v>26</v>
      </c>
      <c r="D25" t="s">
        <v>31</v>
      </c>
      <c r="E25">
        <v>73</v>
      </c>
      <c r="F25" s="6">
        <v>1000</v>
      </c>
      <c r="G25" s="6">
        <v>700</v>
      </c>
      <c r="H25" s="6">
        <v>73000</v>
      </c>
      <c r="I25" s="5">
        <f t="shared" si="0"/>
        <v>21900</v>
      </c>
    </row>
    <row r="26" spans="1:9" x14ac:dyDescent="0.3">
      <c r="A26" t="s">
        <v>51</v>
      </c>
      <c r="B26" t="s">
        <v>23</v>
      </c>
      <c r="C26" t="s">
        <v>26</v>
      </c>
      <c r="D26" t="s">
        <v>21</v>
      </c>
      <c r="E26">
        <v>65</v>
      </c>
      <c r="F26" s="6">
        <v>600</v>
      </c>
      <c r="G26" s="6">
        <v>400</v>
      </c>
      <c r="H26" s="6">
        <v>39000</v>
      </c>
      <c r="I26" s="5">
        <f t="shared" si="0"/>
        <v>13000</v>
      </c>
    </row>
    <row r="27" spans="1:9" x14ac:dyDescent="0.3">
      <c r="A27" t="s">
        <v>52</v>
      </c>
      <c r="B27" t="s">
        <v>13</v>
      </c>
      <c r="C27" t="s">
        <v>14</v>
      </c>
      <c r="D27" t="s">
        <v>11</v>
      </c>
      <c r="E27">
        <v>55</v>
      </c>
      <c r="F27" s="6">
        <v>3500</v>
      </c>
      <c r="G27" s="6">
        <v>2500</v>
      </c>
      <c r="H27" s="6">
        <v>192500</v>
      </c>
      <c r="I27" s="5">
        <f t="shared" si="0"/>
        <v>55000</v>
      </c>
    </row>
    <row r="28" spans="1:9" x14ac:dyDescent="0.3">
      <c r="A28" t="s">
        <v>53</v>
      </c>
      <c r="B28" t="s">
        <v>13</v>
      </c>
      <c r="C28" t="s">
        <v>26</v>
      </c>
      <c r="D28" t="s">
        <v>11</v>
      </c>
      <c r="E28">
        <v>141</v>
      </c>
      <c r="F28" s="6">
        <v>3500</v>
      </c>
      <c r="G28" s="6">
        <v>2500</v>
      </c>
      <c r="H28" s="6">
        <v>493500</v>
      </c>
      <c r="I28" s="5">
        <f t="shared" si="0"/>
        <v>141000</v>
      </c>
    </row>
    <row r="29" spans="1:9" x14ac:dyDescent="0.3">
      <c r="A29" t="s">
        <v>54</v>
      </c>
      <c r="B29" t="s">
        <v>9</v>
      </c>
      <c r="C29" t="s">
        <v>10</v>
      </c>
      <c r="D29" t="s">
        <v>24</v>
      </c>
      <c r="E29">
        <v>90</v>
      </c>
      <c r="F29" s="6">
        <v>1200</v>
      </c>
      <c r="G29" s="6">
        <v>800</v>
      </c>
      <c r="H29" s="6">
        <v>108000</v>
      </c>
      <c r="I29" s="5">
        <f t="shared" si="0"/>
        <v>36000</v>
      </c>
    </row>
    <row r="30" spans="1:9" x14ac:dyDescent="0.3">
      <c r="A30" t="s">
        <v>55</v>
      </c>
      <c r="B30" t="s">
        <v>23</v>
      </c>
      <c r="C30" t="s">
        <v>10</v>
      </c>
      <c r="D30" t="s">
        <v>18</v>
      </c>
      <c r="E30">
        <v>112</v>
      </c>
      <c r="F30" s="6">
        <v>6000</v>
      </c>
      <c r="G30" s="6">
        <v>4000</v>
      </c>
      <c r="H30" s="6">
        <v>672000</v>
      </c>
      <c r="I30" s="5">
        <f t="shared" si="0"/>
        <v>224000</v>
      </c>
    </row>
    <row r="31" spans="1:9" x14ac:dyDescent="0.3">
      <c r="A31" t="s">
        <v>56</v>
      </c>
      <c r="B31" t="s">
        <v>20</v>
      </c>
      <c r="C31" t="s">
        <v>17</v>
      </c>
      <c r="D31" t="s">
        <v>31</v>
      </c>
      <c r="E31">
        <v>69</v>
      </c>
      <c r="F31" s="6">
        <v>1000</v>
      </c>
      <c r="G31" s="6">
        <v>700</v>
      </c>
      <c r="H31" s="6">
        <v>69000</v>
      </c>
      <c r="I31" s="5">
        <f t="shared" si="0"/>
        <v>20700</v>
      </c>
    </row>
    <row r="32" spans="1:9" x14ac:dyDescent="0.3">
      <c r="A32" t="s">
        <v>57</v>
      </c>
      <c r="B32" t="s">
        <v>58</v>
      </c>
      <c r="C32" t="s">
        <v>10</v>
      </c>
      <c r="D32" t="s">
        <v>15</v>
      </c>
      <c r="E32">
        <v>130</v>
      </c>
      <c r="F32" s="6">
        <v>4000</v>
      </c>
      <c r="G32" s="6">
        <v>3000</v>
      </c>
      <c r="H32" s="6">
        <v>520000</v>
      </c>
      <c r="I32" s="5">
        <f t="shared" si="0"/>
        <v>130000</v>
      </c>
    </row>
    <row r="33" spans="1:9" x14ac:dyDescent="0.3">
      <c r="A33" t="s">
        <v>59</v>
      </c>
      <c r="B33" t="s">
        <v>28</v>
      </c>
      <c r="C33" t="s">
        <v>17</v>
      </c>
      <c r="D33" t="s">
        <v>15</v>
      </c>
      <c r="E33">
        <v>124</v>
      </c>
      <c r="F33" s="6">
        <v>4000</v>
      </c>
      <c r="G33" s="6">
        <v>3000</v>
      </c>
      <c r="H33" s="6">
        <v>496000</v>
      </c>
      <c r="I33" s="5">
        <f t="shared" si="0"/>
        <v>124000</v>
      </c>
    </row>
    <row r="34" spans="1:9" x14ac:dyDescent="0.3">
      <c r="A34" t="s">
        <v>60</v>
      </c>
      <c r="B34" t="s">
        <v>28</v>
      </c>
      <c r="C34" t="s">
        <v>17</v>
      </c>
      <c r="D34" t="s">
        <v>31</v>
      </c>
      <c r="E34">
        <v>87</v>
      </c>
      <c r="F34" s="6">
        <v>1000</v>
      </c>
      <c r="G34" s="6">
        <v>700</v>
      </c>
      <c r="H34" s="6">
        <v>87000</v>
      </c>
      <c r="I34" s="5">
        <f t="shared" si="0"/>
        <v>26100</v>
      </c>
    </row>
    <row r="35" spans="1:9" x14ac:dyDescent="0.3">
      <c r="A35" t="s">
        <v>61</v>
      </c>
      <c r="B35" t="s">
        <v>40</v>
      </c>
      <c r="C35" t="s">
        <v>14</v>
      </c>
      <c r="D35" t="s">
        <v>21</v>
      </c>
      <c r="E35">
        <v>113</v>
      </c>
      <c r="F35" s="6">
        <v>600</v>
      </c>
      <c r="G35" s="6">
        <v>400</v>
      </c>
      <c r="H35" s="6">
        <v>67800</v>
      </c>
      <c r="I35" s="5">
        <f t="shared" si="0"/>
        <v>22600</v>
      </c>
    </row>
    <row r="36" spans="1:9" x14ac:dyDescent="0.3">
      <c r="A36" t="s">
        <v>62</v>
      </c>
      <c r="B36" t="s">
        <v>36</v>
      </c>
      <c r="C36" t="s">
        <v>26</v>
      </c>
      <c r="D36" t="s">
        <v>31</v>
      </c>
      <c r="E36">
        <v>88</v>
      </c>
      <c r="F36" s="6">
        <v>1000</v>
      </c>
      <c r="G36" s="6">
        <v>700</v>
      </c>
      <c r="H36" s="6">
        <v>88000</v>
      </c>
      <c r="I36" s="5">
        <f t="shared" si="0"/>
        <v>26400</v>
      </c>
    </row>
    <row r="37" spans="1:9" x14ac:dyDescent="0.3">
      <c r="A37" t="s">
        <v>63</v>
      </c>
      <c r="B37" t="s">
        <v>13</v>
      </c>
      <c r="C37" t="s">
        <v>14</v>
      </c>
      <c r="D37" t="s">
        <v>18</v>
      </c>
      <c r="E37">
        <v>85</v>
      </c>
      <c r="F37" s="6">
        <v>6000</v>
      </c>
      <c r="G37" s="6">
        <v>4000</v>
      </c>
      <c r="H37" s="6">
        <v>510000</v>
      </c>
      <c r="I37" s="5">
        <f t="shared" si="0"/>
        <v>170000</v>
      </c>
    </row>
    <row r="38" spans="1:9" x14ac:dyDescent="0.3">
      <c r="A38" t="s">
        <v>64</v>
      </c>
      <c r="B38" t="s">
        <v>28</v>
      </c>
      <c r="C38" t="s">
        <v>17</v>
      </c>
      <c r="D38" t="s">
        <v>31</v>
      </c>
      <c r="E38">
        <v>142</v>
      </c>
      <c r="F38" s="6">
        <v>1000</v>
      </c>
      <c r="G38" s="6">
        <v>700</v>
      </c>
      <c r="H38" s="6">
        <v>142000</v>
      </c>
      <c r="I38" s="5">
        <f t="shared" si="0"/>
        <v>42600</v>
      </c>
    </row>
    <row r="39" spans="1:9" x14ac:dyDescent="0.3">
      <c r="A39" t="s">
        <v>65</v>
      </c>
      <c r="B39" t="s">
        <v>9</v>
      </c>
      <c r="C39" t="s">
        <v>14</v>
      </c>
      <c r="D39" t="s">
        <v>21</v>
      </c>
      <c r="E39">
        <v>129</v>
      </c>
      <c r="F39" s="6">
        <v>600</v>
      </c>
      <c r="G39" s="6">
        <v>400</v>
      </c>
      <c r="H39" s="6">
        <v>77400</v>
      </c>
      <c r="I39" s="5">
        <f t="shared" si="0"/>
        <v>25800</v>
      </c>
    </row>
    <row r="40" spans="1:9" x14ac:dyDescent="0.3">
      <c r="A40" t="s">
        <v>66</v>
      </c>
      <c r="B40" t="s">
        <v>40</v>
      </c>
      <c r="C40" t="s">
        <v>26</v>
      </c>
      <c r="D40" t="s">
        <v>18</v>
      </c>
      <c r="E40">
        <v>59</v>
      </c>
      <c r="F40" s="6">
        <v>6000</v>
      </c>
      <c r="G40" s="6">
        <v>4000</v>
      </c>
      <c r="H40" s="6">
        <v>354000</v>
      </c>
      <c r="I40" s="5">
        <f t="shared" si="0"/>
        <v>118000</v>
      </c>
    </row>
    <row r="41" spans="1:9" x14ac:dyDescent="0.3">
      <c r="A41" t="s">
        <v>67</v>
      </c>
      <c r="B41" t="s">
        <v>9</v>
      </c>
      <c r="C41" t="s">
        <v>14</v>
      </c>
      <c r="D41" t="s">
        <v>34</v>
      </c>
      <c r="E41">
        <v>77</v>
      </c>
      <c r="F41" s="6">
        <v>10000</v>
      </c>
      <c r="G41" s="6">
        <v>7000</v>
      </c>
      <c r="H41" s="6">
        <v>770000</v>
      </c>
      <c r="I41" s="5">
        <f t="shared" si="0"/>
        <v>231000</v>
      </c>
    </row>
    <row r="42" spans="1:9" x14ac:dyDescent="0.3">
      <c r="A42" t="s">
        <v>68</v>
      </c>
      <c r="B42" t="s">
        <v>13</v>
      </c>
      <c r="C42" t="s">
        <v>17</v>
      </c>
      <c r="D42" t="s">
        <v>24</v>
      </c>
      <c r="E42">
        <v>134</v>
      </c>
      <c r="F42" s="6">
        <v>1200</v>
      </c>
      <c r="G42" s="6">
        <v>800</v>
      </c>
      <c r="H42" s="6">
        <v>160800</v>
      </c>
      <c r="I42" s="5">
        <f t="shared" si="0"/>
        <v>53600</v>
      </c>
    </row>
    <row r="43" spans="1:9" x14ac:dyDescent="0.3">
      <c r="A43" t="s">
        <v>69</v>
      </c>
      <c r="B43" t="s">
        <v>13</v>
      </c>
      <c r="C43" t="s">
        <v>26</v>
      </c>
      <c r="D43" t="s">
        <v>11</v>
      </c>
      <c r="E43">
        <v>75</v>
      </c>
      <c r="F43" s="6">
        <v>3500</v>
      </c>
      <c r="G43" s="6">
        <v>2500</v>
      </c>
      <c r="H43" s="6">
        <v>262500</v>
      </c>
      <c r="I43" s="5">
        <f t="shared" si="0"/>
        <v>75000</v>
      </c>
    </row>
    <row r="44" spans="1:9" x14ac:dyDescent="0.3">
      <c r="A44" t="s">
        <v>70</v>
      </c>
      <c r="B44" t="s">
        <v>36</v>
      </c>
      <c r="C44" t="s">
        <v>17</v>
      </c>
      <c r="D44" t="s">
        <v>24</v>
      </c>
      <c r="E44">
        <v>124</v>
      </c>
      <c r="F44" s="6">
        <v>1200</v>
      </c>
      <c r="G44" s="6">
        <v>800</v>
      </c>
      <c r="H44" s="6">
        <v>148800</v>
      </c>
      <c r="I44" s="5">
        <f t="shared" si="0"/>
        <v>49600</v>
      </c>
    </row>
    <row r="45" spans="1:9" x14ac:dyDescent="0.3">
      <c r="A45" t="s">
        <v>71</v>
      </c>
      <c r="B45" t="s">
        <v>58</v>
      </c>
      <c r="C45" t="s">
        <v>17</v>
      </c>
      <c r="D45" t="s">
        <v>31</v>
      </c>
      <c r="E45">
        <v>130</v>
      </c>
      <c r="F45" s="6">
        <v>1000</v>
      </c>
      <c r="G45" s="6">
        <v>700</v>
      </c>
      <c r="H45" s="6">
        <v>130000</v>
      </c>
      <c r="I45" s="5">
        <f t="shared" si="0"/>
        <v>39000</v>
      </c>
    </row>
    <row r="46" spans="1:9" x14ac:dyDescent="0.3">
      <c r="A46" t="s">
        <v>72</v>
      </c>
      <c r="B46" t="s">
        <v>20</v>
      </c>
      <c r="C46" t="s">
        <v>26</v>
      </c>
      <c r="D46" t="s">
        <v>24</v>
      </c>
      <c r="E46">
        <v>94</v>
      </c>
      <c r="F46" s="6">
        <v>1200</v>
      </c>
      <c r="G46" s="6">
        <v>800</v>
      </c>
      <c r="H46" s="6">
        <v>112800</v>
      </c>
      <c r="I46" s="5">
        <f t="shared" si="0"/>
        <v>37600</v>
      </c>
    </row>
    <row r="47" spans="1:9" x14ac:dyDescent="0.3">
      <c r="A47" t="s">
        <v>73</v>
      </c>
      <c r="B47" t="s">
        <v>58</v>
      </c>
      <c r="C47" t="s">
        <v>26</v>
      </c>
      <c r="D47" t="s">
        <v>18</v>
      </c>
      <c r="E47">
        <v>59</v>
      </c>
      <c r="F47" s="6">
        <v>6000</v>
      </c>
      <c r="G47" s="6">
        <v>4000</v>
      </c>
      <c r="H47" s="6">
        <v>354000</v>
      </c>
      <c r="I47" s="5">
        <f t="shared" si="0"/>
        <v>118000</v>
      </c>
    </row>
    <row r="48" spans="1:9" x14ac:dyDescent="0.3">
      <c r="A48" t="s">
        <v>74</v>
      </c>
      <c r="B48" t="s">
        <v>43</v>
      </c>
      <c r="C48" t="s">
        <v>14</v>
      </c>
      <c r="D48" t="s">
        <v>31</v>
      </c>
      <c r="E48">
        <v>134</v>
      </c>
      <c r="F48" s="6">
        <v>1000</v>
      </c>
      <c r="G48" s="6">
        <v>700</v>
      </c>
      <c r="H48" s="6">
        <v>134000</v>
      </c>
      <c r="I48" s="5">
        <f t="shared" si="0"/>
        <v>40200</v>
      </c>
    </row>
    <row r="49" spans="1:9" x14ac:dyDescent="0.3">
      <c r="A49" t="s">
        <v>75</v>
      </c>
      <c r="B49" t="s">
        <v>43</v>
      </c>
      <c r="C49" t="s">
        <v>17</v>
      </c>
      <c r="D49" t="s">
        <v>31</v>
      </c>
      <c r="E49">
        <v>115</v>
      </c>
      <c r="F49" s="6">
        <v>1000</v>
      </c>
      <c r="G49" s="6">
        <v>700</v>
      </c>
      <c r="H49" s="6">
        <v>115000</v>
      </c>
      <c r="I49" s="5">
        <f t="shared" si="0"/>
        <v>34500</v>
      </c>
    </row>
    <row r="50" spans="1:9" x14ac:dyDescent="0.3">
      <c r="A50" t="s">
        <v>76</v>
      </c>
      <c r="B50" t="s">
        <v>23</v>
      </c>
      <c r="C50" t="s">
        <v>14</v>
      </c>
      <c r="D50" t="s">
        <v>34</v>
      </c>
      <c r="E50">
        <v>72</v>
      </c>
      <c r="F50" s="6">
        <v>10000</v>
      </c>
      <c r="G50" s="6">
        <v>7000</v>
      </c>
      <c r="H50" s="6">
        <v>720000</v>
      </c>
      <c r="I50" s="5">
        <f t="shared" si="0"/>
        <v>216000</v>
      </c>
    </row>
    <row r="51" spans="1:9" x14ac:dyDescent="0.3">
      <c r="A51" t="s">
        <v>77</v>
      </c>
      <c r="B51" t="s">
        <v>40</v>
      </c>
      <c r="C51" t="s">
        <v>10</v>
      </c>
      <c r="D51" t="s">
        <v>15</v>
      </c>
      <c r="E51">
        <v>101</v>
      </c>
      <c r="F51" s="6">
        <v>4000</v>
      </c>
      <c r="G51" s="6">
        <v>3000</v>
      </c>
      <c r="H51" s="6">
        <v>404000</v>
      </c>
      <c r="I51" s="5">
        <f t="shared" si="0"/>
        <v>101000</v>
      </c>
    </row>
    <row r="52" spans="1:9" x14ac:dyDescent="0.3">
      <c r="A52" t="s">
        <v>78</v>
      </c>
      <c r="B52" t="s">
        <v>36</v>
      </c>
      <c r="C52" t="s">
        <v>10</v>
      </c>
      <c r="D52" t="s">
        <v>24</v>
      </c>
      <c r="E52">
        <v>145</v>
      </c>
      <c r="F52" s="6">
        <v>1200</v>
      </c>
      <c r="G52" s="6">
        <v>800</v>
      </c>
      <c r="H52" s="6">
        <v>174000</v>
      </c>
      <c r="I52" s="5">
        <f t="shared" si="0"/>
        <v>58000</v>
      </c>
    </row>
    <row r="53" spans="1:9" x14ac:dyDescent="0.3">
      <c r="A53" t="s">
        <v>79</v>
      </c>
      <c r="B53" t="s">
        <v>28</v>
      </c>
      <c r="C53" t="s">
        <v>26</v>
      </c>
      <c r="D53" t="s">
        <v>18</v>
      </c>
      <c r="E53">
        <v>59</v>
      </c>
      <c r="F53" s="6">
        <v>6000</v>
      </c>
      <c r="G53" s="6">
        <v>4000</v>
      </c>
      <c r="H53" s="6">
        <v>354000</v>
      </c>
      <c r="I53" s="5">
        <f t="shared" si="0"/>
        <v>118000</v>
      </c>
    </row>
    <row r="54" spans="1:9" x14ac:dyDescent="0.3">
      <c r="A54" t="s">
        <v>80</v>
      </c>
      <c r="B54" t="s">
        <v>58</v>
      </c>
      <c r="C54" t="s">
        <v>14</v>
      </c>
      <c r="D54" t="s">
        <v>24</v>
      </c>
      <c r="E54">
        <v>54</v>
      </c>
      <c r="F54" s="6">
        <v>1200</v>
      </c>
      <c r="G54" s="6">
        <v>800</v>
      </c>
      <c r="H54" s="6">
        <v>64800</v>
      </c>
      <c r="I54" s="5">
        <f t="shared" si="0"/>
        <v>21600</v>
      </c>
    </row>
    <row r="55" spans="1:9" x14ac:dyDescent="0.3">
      <c r="A55" t="s">
        <v>81</v>
      </c>
      <c r="B55" t="s">
        <v>40</v>
      </c>
      <c r="C55" t="s">
        <v>14</v>
      </c>
      <c r="D55" t="s">
        <v>24</v>
      </c>
      <c r="E55">
        <v>125</v>
      </c>
      <c r="F55" s="6">
        <v>1200</v>
      </c>
      <c r="G55" s="6">
        <v>800</v>
      </c>
      <c r="H55" s="6">
        <v>150000</v>
      </c>
      <c r="I55" s="5">
        <f t="shared" si="0"/>
        <v>50000</v>
      </c>
    </row>
    <row r="56" spans="1:9" x14ac:dyDescent="0.3">
      <c r="A56" t="s">
        <v>82</v>
      </c>
      <c r="B56" t="s">
        <v>13</v>
      </c>
      <c r="C56" t="s">
        <v>10</v>
      </c>
      <c r="D56" t="s">
        <v>21</v>
      </c>
      <c r="E56">
        <v>101</v>
      </c>
      <c r="F56" s="6">
        <v>600</v>
      </c>
      <c r="G56" s="6">
        <v>400</v>
      </c>
      <c r="H56" s="6">
        <v>60600</v>
      </c>
      <c r="I56" s="5">
        <f t="shared" si="0"/>
        <v>20200</v>
      </c>
    </row>
    <row r="57" spans="1:9" x14ac:dyDescent="0.3">
      <c r="A57" t="s">
        <v>83</v>
      </c>
      <c r="B57" t="s">
        <v>43</v>
      </c>
      <c r="C57" t="s">
        <v>14</v>
      </c>
      <c r="D57" t="s">
        <v>31</v>
      </c>
      <c r="E57">
        <v>120</v>
      </c>
      <c r="F57" s="6">
        <v>1000</v>
      </c>
      <c r="G57" s="6">
        <v>700</v>
      </c>
      <c r="H57" s="6">
        <v>120000</v>
      </c>
      <c r="I57" s="5">
        <f t="shared" si="0"/>
        <v>36000</v>
      </c>
    </row>
    <row r="58" spans="1:9" x14ac:dyDescent="0.3">
      <c r="A58" t="s">
        <v>84</v>
      </c>
      <c r="B58" t="s">
        <v>23</v>
      </c>
      <c r="C58" t="s">
        <v>17</v>
      </c>
      <c r="D58" t="s">
        <v>34</v>
      </c>
      <c r="E58">
        <v>121</v>
      </c>
      <c r="F58" s="6">
        <v>10000</v>
      </c>
      <c r="G58" s="6">
        <v>7000</v>
      </c>
      <c r="H58" s="6">
        <v>1210000</v>
      </c>
      <c r="I58" s="5">
        <f t="shared" si="0"/>
        <v>363000</v>
      </c>
    </row>
    <row r="59" spans="1:9" x14ac:dyDescent="0.3">
      <c r="A59" t="s">
        <v>85</v>
      </c>
      <c r="B59" t="s">
        <v>9</v>
      </c>
      <c r="C59" t="s">
        <v>10</v>
      </c>
      <c r="D59" t="s">
        <v>21</v>
      </c>
      <c r="E59">
        <v>118</v>
      </c>
      <c r="F59" s="6">
        <v>600</v>
      </c>
      <c r="G59" s="6">
        <v>400</v>
      </c>
      <c r="H59" s="6">
        <v>70800</v>
      </c>
      <c r="I59" s="5">
        <f t="shared" si="0"/>
        <v>23600</v>
      </c>
    </row>
    <row r="60" spans="1:9" x14ac:dyDescent="0.3">
      <c r="A60" t="s">
        <v>86</v>
      </c>
      <c r="B60" t="s">
        <v>28</v>
      </c>
      <c r="C60" t="s">
        <v>26</v>
      </c>
      <c r="D60" t="s">
        <v>21</v>
      </c>
      <c r="E60">
        <v>110</v>
      </c>
      <c r="F60" s="6">
        <v>600</v>
      </c>
      <c r="G60" s="6">
        <v>400</v>
      </c>
      <c r="H60" s="6">
        <v>66000</v>
      </c>
      <c r="I60" s="5">
        <f t="shared" si="0"/>
        <v>22000</v>
      </c>
    </row>
    <row r="61" spans="1:9" x14ac:dyDescent="0.3">
      <c r="A61" t="s">
        <v>87</v>
      </c>
      <c r="B61" t="s">
        <v>30</v>
      </c>
      <c r="C61" t="s">
        <v>26</v>
      </c>
      <c r="D61" t="s">
        <v>15</v>
      </c>
      <c r="E61">
        <v>96</v>
      </c>
      <c r="F61" s="6">
        <v>4000</v>
      </c>
      <c r="G61" s="6">
        <v>3000</v>
      </c>
      <c r="H61" s="6">
        <v>384000</v>
      </c>
      <c r="I61" s="5">
        <f t="shared" si="0"/>
        <v>96000</v>
      </c>
    </row>
    <row r="62" spans="1:9" x14ac:dyDescent="0.3">
      <c r="A62" t="s">
        <v>88</v>
      </c>
      <c r="B62" t="s">
        <v>28</v>
      </c>
      <c r="C62" t="s">
        <v>14</v>
      </c>
      <c r="D62" t="s">
        <v>11</v>
      </c>
      <c r="E62">
        <v>115</v>
      </c>
      <c r="F62" s="6">
        <v>3500</v>
      </c>
      <c r="G62" s="6">
        <v>2500</v>
      </c>
      <c r="H62" s="6">
        <v>402500</v>
      </c>
      <c r="I62" s="5">
        <f t="shared" si="0"/>
        <v>115000</v>
      </c>
    </row>
    <row r="63" spans="1:9" x14ac:dyDescent="0.3">
      <c r="A63" t="s">
        <v>89</v>
      </c>
      <c r="B63" t="s">
        <v>23</v>
      </c>
      <c r="C63" t="s">
        <v>14</v>
      </c>
      <c r="D63" t="s">
        <v>18</v>
      </c>
      <c r="E63">
        <v>132</v>
      </c>
      <c r="F63" s="6">
        <v>6000</v>
      </c>
      <c r="G63" s="6">
        <v>4000</v>
      </c>
      <c r="H63" s="6">
        <v>792000</v>
      </c>
      <c r="I63" s="5">
        <f t="shared" si="0"/>
        <v>264000</v>
      </c>
    </row>
    <row r="64" spans="1:9" x14ac:dyDescent="0.3">
      <c r="A64" t="s">
        <v>90</v>
      </c>
      <c r="B64" t="s">
        <v>40</v>
      </c>
      <c r="C64" t="s">
        <v>14</v>
      </c>
      <c r="D64" t="s">
        <v>11</v>
      </c>
      <c r="E64">
        <v>62</v>
      </c>
      <c r="F64" s="6">
        <v>3500</v>
      </c>
      <c r="G64" s="6">
        <v>2500</v>
      </c>
      <c r="H64" s="6">
        <v>217000</v>
      </c>
      <c r="I64" s="5">
        <f t="shared" si="0"/>
        <v>62000</v>
      </c>
    </row>
    <row r="65" spans="1:9" x14ac:dyDescent="0.3">
      <c r="A65" t="s">
        <v>91</v>
      </c>
      <c r="B65" t="s">
        <v>40</v>
      </c>
      <c r="C65" t="s">
        <v>10</v>
      </c>
      <c r="D65" t="s">
        <v>31</v>
      </c>
      <c r="E65">
        <v>103</v>
      </c>
      <c r="F65" s="6">
        <v>1000</v>
      </c>
      <c r="G65" s="6">
        <v>700</v>
      </c>
      <c r="H65" s="6">
        <v>103000</v>
      </c>
      <c r="I65" s="5">
        <f t="shared" si="0"/>
        <v>30900</v>
      </c>
    </row>
    <row r="66" spans="1:9" x14ac:dyDescent="0.3">
      <c r="A66" t="s">
        <v>92</v>
      </c>
      <c r="B66" t="s">
        <v>58</v>
      </c>
      <c r="C66" t="s">
        <v>26</v>
      </c>
      <c r="D66" t="s">
        <v>21</v>
      </c>
      <c r="E66">
        <v>70</v>
      </c>
      <c r="F66" s="6">
        <v>600</v>
      </c>
      <c r="G66" s="6">
        <v>400</v>
      </c>
      <c r="H66" s="6">
        <v>42000</v>
      </c>
      <c r="I66" s="5">
        <f t="shared" ref="I66:I129" si="1">H66-(G66*E66)</f>
        <v>14000</v>
      </c>
    </row>
    <row r="67" spans="1:9" x14ac:dyDescent="0.3">
      <c r="A67" t="s">
        <v>93</v>
      </c>
      <c r="B67" t="s">
        <v>58</v>
      </c>
      <c r="C67" t="s">
        <v>26</v>
      </c>
      <c r="D67" t="s">
        <v>11</v>
      </c>
      <c r="E67">
        <v>142</v>
      </c>
      <c r="F67" s="6">
        <v>3500</v>
      </c>
      <c r="G67" s="6">
        <v>2500</v>
      </c>
      <c r="H67" s="6">
        <v>497000</v>
      </c>
      <c r="I67" s="5">
        <f t="shared" si="1"/>
        <v>142000</v>
      </c>
    </row>
    <row r="68" spans="1:9" x14ac:dyDescent="0.3">
      <c r="A68" t="s">
        <v>94</v>
      </c>
      <c r="B68" t="s">
        <v>30</v>
      </c>
      <c r="C68" t="s">
        <v>26</v>
      </c>
      <c r="D68" t="s">
        <v>34</v>
      </c>
      <c r="E68">
        <v>149</v>
      </c>
      <c r="F68" s="6">
        <v>10000</v>
      </c>
      <c r="G68" s="6">
        <v>7000</v>
      </c>
      <c r="H68" s="6">
        <v>1490000</v>
      </c>
      <c r="I68" s="5">
        <f t="shared" si="1"/>
        <v>447000</v>
      </c>
    </row>
    <row r="69" spans="1:9" x14ac:dyDescent="0.3">
      <c r="A69" t="s">
        <v>95</v>
      </c>
      <c r="B69" t="s">
        <v>30</v>
      </c>
      <c r="C69" t="s">
        <v>14</v>
      </c>
      <c r="D69" t="s">
        <v>15</v>
      </c>
      <c r="E69">
        <v>110</v>
      </c>
      <c r="F69" s="6">
        <v>4000</v>
      </c>
      <c r="G69" s="6">
        <v>3000</v>
      </c>
      <c r="H69" s="6">
        <v>440000</v>
      </c>
      <c r="I69" s="5">
        <f t="shared" si="1"/>
        <v>110000</v>
      </c>
    </row>
    <row r="70" spans="1:9" x14ac:dyDescent="0.3">
      <c r="A70" t="s">
        <v>96</v>
      </c>
      <c r="B70" t="s">
        <v>9</v>
      </c>
      <c r="C70" t="s">
        <v>26</v>
      </c>
      <c r="D70" t="s">
        <v>24</v>
      </c>
      <c r="E70">
        <v>98</v>
      </c>
      <c r="F70" s="6">
        <v>1200</v>
      </c>
      <c r="G70" s="6">
        <v>800</v>
      </c>
      <c r="H70" s="6">
        <v>117600</v>
      </c>
      <c r="I70" s="5">
        <f t="shared" si="1"/>
        <v>39200</v>
      </c>
    </row>
    <row r="71" spans="1:9" x14ac:dyDescent="0.3">
      <c r="A71" t="s">
        <v>97</v>
      </c>
      <c r="B71" t="s">
        <v>40</v>
      </c>
      <c r="C71" t="s">
        <v>17</v>
      </c>
      <c r="D71" t="s">
        <v>21</v>
      </c>
      <c r="E71">
        <v>59</v>
      </c>
      <c r="F71" s="6">
        <v>600</v>
      </c>
      <c r="G71" s="6">
        <v>400</v>
      </c>
      <c r="H71" s="6">
        <v>35400</v>
      </c>
      <c r="I71" s="5">
        <f t="shared" si="1"/>
        <v>11800</v>
      </c>
    </row>
    <row r="72" spans="1:9" x14ac:dyDescent="0.3">
      <c r="A72" t="s">
        <v>98</v>
      </c>
      <c r="B72" t="s">
        <v>9</v>
      </c>
      <c r="C72" t="s">
        <v>17</v>
      </c>
      <c r="D72" t="s">
        <v>21</v>
      </c>
      <c r="E72">
        <v>88</v>
      </c>
      <c r="F72" s="6">
        <v>600</v>
      </c>
      <c r="G72" s="6">
        <v>400</v>
      </c>
      <c r="H72" s="6">
        <v>52800</v>
      </c>
      <c r="I72" s="5">
        <f t="shared" si="1"/>
        <v>17600</v>
      </c>
    </row>
    <row r="73" spans="1:9" x14ac:dyDescent="0.3">
      <c r="A73" t="s">
        <v>99</v>
      </c>
      <c r="B73" t="s">
        <v>20</v>
      </c>
      <c r="C73" t="s">
        <v>26</v>
      </c>
      <c r="D73" t="s">
        <v>11</v>
      </c>
      <c r="E73">
        <v>150</v>
      </c>
      <c r="F73" s="6">
        <v>3500</v>
      </c>
      <c r="G73" s="6">
        <v>2500</v>
      </c>
      <c r="H73" s="6">
        <v>525000</v>
      </c>
      <c r="I73" s="5">
        <f t="shared" si="1"/>
        <v>150000</v>
      </c>
    </row>
    <row r="74" spans="1:9" x14ac:dyDescent="0.3">
      <c r="A74" t="s">
        <v>100</v>
      </c>
      <c r="B74" t="s">
        <v>58</v>
      </c>
      <c r="C74" t="s">
        <v>17</v>
      </c>
      <c r="D74" t="s">
        <v>24</v>
      </c>
      <c r="E74">
        <v>110</v>
      </c>
      <c r="F74" s="6">
        <v>1200</v>
      </c>
      <c r="G74" s="6">
        <v>800</v>
      </c>
      <c r="H74" s="6">
        <v>132000</v>
      </c>
      <c r="I74" s="5">
        <f t="shared" si="1"/>
        <v>44000</v>
      </c>
    </row>
    <row r="75" spans="1:9" x14ac:dyDescent="0.3">
      <c r="A75" t="s">
        <v>101</v>
      </c>
      <c r="B75" t="s">
        <v>9</v>
      </c>
      <c r="C75" t="s">
        <v>17</v>
      </c>
      <c r="D75" t="s">
        <v>31</v>
      </c>
      <c r="E75">
        <v>118</v>
      </c>
      <c r="F75" s="6">
        <v>1000</v>
      </c>
      <c r="G75" s="6">
        <v>700</v>
      </c>
      <c r="H75" s="6">
        <v>118000</v>
      </c>
      <c r="I75" s="5">
        <f t="shared" si="1"/>
        <v>35400</v>
      </c>
    </row>
    <row r="76" spans="1:9" x14ac:dyDescent="0.3">
      <c r="A76" t="s">
        <v>102</v>
      </c>
      <c r="B76" t="s">
        <v>36</v>
      </c>
      <c r="C76" t="s">
        <v>17</v>
      </c>
      <c r="D76" t="s">
        <v>21</v>
      </c>
      <c r="E76">
        <v>102</v>
      </c>
      <c r="F76" s="6">
        <v>600</v>
      </c>
      <c r="G76" s="6">
        <v>400</v>
      </c>
      <c r="H76" s="6">
        <v>61200</v>
      </c>
      <c r="I76" s="5">
        <f t="shared" si="1"/>
        <v>20400</v>
      </c>
    </row>
    <row r="77" spans="1:9" x14ac:dyDescent="0.3">
      <c r="A77" t="s">
        <v>103</v>
      </c>
      <c r="B77" t="s">
        <v>9</v>
      </c>
      <c r="C77" t="s">
        <v>26</v>
      </c>
      <c r="D77" t="s">
        <v>18</v>
      </c>
      <c r="E77">
        <v>145</v>
      </c>
      <c r="F77" s="6">
        <v>6000</v>
      </c>
      <c r="G77" s="6">
        <v>4000</v>
      </c>
      <c r="H77" s="6">
        <v>870000</v>
      </c>
      <c r="I77" s="5">
        <f t="shared" si="1"/>
        <v>290000</v>
      </c>
    </row>
    <row r="78" spans="1:9" x14ac:dyDescent="0.3">
      <c r="A78" t="s">
        <v>104</v>
      </c>
      <c r="B78" t="s">
        <v>36</v>
      </c>
      <c r="C78" t="s">
        <v>14</v>
      </c>
      <c r="D78" t="s">
        <v>15</v>
      </c>
      <c r="E78">
        <v>90</v>
      </c>
      <c r="F78" s="6">
        <v>4000</v>
      </c>
      <c r="G78" s="6">
        <v>3000</v>
      </c>
      <c r="H78" s="6">
        <v>360000</v>
      </c>
      <c r="I78" s="5">
        <f t="shared" si="1"/>
        <v>90000</v>
      </c>
    </row>
    <row r="79" spans="1:9" x14ac:dyDescent="0.3">
      <c r="A79" t="s">
        <v>105</v>
      </c>
      <c r="B79" t="s">
        <v>23</v>
      </c>
      <c r="C79" t="s">
        <v>17</v>
      </c>
      <c r="D79" t="s">
        <v>31</v>
      </c>
      <c r="E79">
        <v>88</v>
      </c>
      <c r="F79" s="6">
        <v>1000</v>
      </c>
      <c r="G79" s="6">
        <v>700</v>
      </c>
      <c r="H79" s="6">
        <v>88000</v>
      </c>
      <c r="I79" s="5">
        <f t="shared" si="1"/>
        <v>26400</v>
      </c>
    </row>
    <row r="80" spans="1:9" x14ac:dyDescent="0.3">
      <c r="A80" t="s">
        <v>106</v>
      </c>
      <c r="B80" t="s">
        <v>36</v>
      </c>
      <c r="C80" t="s">
        <v>17</v>
      </c>
      <c r="D80" t="s">
        <v>34</v>
      </c>
      <c r="E80">
        <v>87</v>
      </c>
      <c r="F80" s="6">
        <v>10000</v>
      </c>
      <c r="G80" s="6">
        <v>7000</v>
      </c>
      <c r="H80" s="6">
        <v>870000</v>
      </c>
      <c r="I80" s="5">
        <f t="shared" si="1"/>
        <v>261000</v>
      </c>
    </row>
    <row r="81" spans="1:9" x14ac:dyDescent="0.3">
      <c r="A81" t="s">
        <v>107</v>
      </c>
      <c r="B81" t="s">
        <v>36</v>
      </c>
      <c r="C81" t="s">
        <v>10</v>
      </c>
      <c r="D81" t="s">
        <v>15</v>
      </c>
      <c r="E81">
        <v>111</v>
      </c>
      <c r="F81" s="6">
        <v>4000</v>
      </c>
      <c r="G81" s="6">
        <v>3000</v>
      </c>
      <c r="H81" s="6">
        <v>444000</v>
      </c>
      <c r="I81" s="5">
        <f t="shared" si="1"/>
        <v>111000</v>
      </c>
    </row>
    <row r="82" spans="1:9" x14ac:dyDescent="0.3">
      <c r="A82" t="s">
        <v>108</v>
      </c>
      <c r="B82" t="s">
        <v>13</v>
      </c>
      <c r="C82" t="s">
        <v>10</v>
      </c>
      <c r="D82" t="s">
        <v>21</v>
      </c>
      <c r="E82">
        <v>50</v>
      </c>
      <c r="F82" s="6">
        <v>600</v>
      </c>
      <c r="G82" s="6">
        <v>400</v>
      </c>
      <c r="H82" s="6">
        <v>30000</v>
      </c>
      <c r="I82" s="5">
        <f t="shared" si="1"/>
        <v>10000</v>
      </c>
    </row>
    <row r="83" spans="1:9" x14ac:dyDescent="0.3">
      <c r="A83" t="s">
        <v>109</v>
      </c>
      <c r="B83" t="s">
        <v>28</v>
      </c>
      <c r="C83" t="s">
        <v>26</v>
      </c>
      <c r="D83" t="s">
        <v>21</v>
      </c>
      <c r="E83">
        <v>128</v>
      </c>
      <c r="F83" s="6">
        <v>600</v>
      </c>
      <c r="G83" s="6">
        <v>400</v>
      </c>
      <c r="H83" s="6">
        <v>76800</v>
      </c>
      <c r="I83" s="5">
        <f t="shared" si="1"/>
        <v>25600</v>
      </c>
    </row>
    <row r="84" spans="1:9" x14ac:dyDescent="0.3">
      <c r="A84" t="s">
        <v>110</v>
      </c>
      <c r="B84" t="s">
        <v>36</v>
      </c>
      <c r="C84" t="s">
        <v>26</v>
      </c>
      <c r="D84" t="s">
        <v>31</v>
      </c>
      <c r="E84">
        <v>108</v>
      </c>
      <c r="F84" s="6">
        <v>1000</v>
      </c>
      <c r="G84" s="6">
        <v>700</v>
      </c>
      <c r="H84" s="6">
        <v>108000</v>
      </c>
      <c r="I84" s="5">
        <f t="shared" si="1"/>
        <v>32400</v>
      </c>
    </row>
    <row r="85" spans="1:9" x14ac:dyDescent="0.3">
      <c r="A85" t="s">
        <v>111</v>
      </c>
      <c r="B85" t="s">
        <v>40</v>
      </c>
      <c r="C85" t="s">
        <v>26</v>
      </c>
      <c r="D85" t="s">
        <v>21</v>
      </c>
      <c r="E85">
        <v>142</v>
      </c>
      <c r="F85" s="6">
        <v>600</v>
      </c>
      <c r="G85" s="6">
        <v>400</v>
      </c>
      <c r="H85" s="6">
        <v>85200</v>
      </c>
      <c r="I85" s="5">
        <f t="shared" si="1"/>
        <v>28400</v>
      </c>
    </row>
    <row r="86" spans="1:9" x14ac:dyDescent="0.3">
      <c r="A86" t="s">
        <v>112</v>
      </c>
      <c r="B86" t="s">
        <v>58</v>
      </c>
      <c r="C86" t="s">
        <v>14</v>
      </c>
      <c r="D86" t="s">
        <v>11</v>
      </c>
      <c r="E86">
        <v>100</v>
      </c>
      <c r="F86" s="6">
        <v>3500</v>
      </c>
      <c r="G86" s="6">
        <v>2500</v>
      </c>
      <c r="H86" s="6">
        <v>350000</v>
      </c>
      <c r="I86" s="5">
        <f t="shared" si="1"/>
        <v>100000</v>
      </c>
    </row>
    <row r="87" spans="1:9" x14ac:dyDescent="0.3">
      <c r="A87" t="s">
        <v>113</v>
      </c>
      <c r="B87" t="s">
        <v>36</v>
      </c>
      <c r="C87" t="s">
        <v>14</v>
      </c>
      <c r="D87" t="s">
        <v>21</v>
      </c>
      <c r="E87">
        <v>80</v>
      </c>
      <c r="F87" s="6">
        <v>600</v>
      </c>
      <c r="G87" s="6">
        <v>400</v>
      </c>
      <c r="H87" s="6">
        <v>48000</v>
      </c>
      <c r="I87" s="5">
        <f t="shared" si="1"/>
        <v>16000</v>
      </c>
    </row>
    <row r="88" spans="1:9" x14ac:dyDescent="0.3">
      <c r="A88" t="s">
        <v>99</v>
      </c>
      <c r="B88" t="s">
        <v>23</v>
      </c>
      <c r="C88" t="s">
        <v>26</v>
      </c>
      <c r="D88" t="s">
        <v>34</v>
      </c>
      <c r="E88">
        <v>92</v>
      </c>
      <c r="F88" s="6">
        <v>10000</v>
      </c>
      <c r="G88" s="6">
        <v>7000</v>
      </c>
      <c r="H88" s="6">
        <v>920000</v>
      </c>
      <c r="I88" s="5">
        <f t="shared" si="1"/>
        <v>276000</v>
      </c>
    </row>
    <row r="89" spans="1:9" x14ac:dyDescent="0.3">
      <c r="A89" t="s">
        <v>114</v>
      </c>
      <c r="B89" t="s">
        <v>30</v>
      </c>
      <c r="C89" t="s">
        <v>10</v>
      </c>
      <c r="D89" t="s">
        <v>18</v>
      </c>
      <c r="E89">
        <v>68</v>
      </c>
      <c r="F89" s="6">
        <v>6000</v>
      </c>
      <c r="G89" s="6">
        <v>4000</v>
      </c>
      <c r="H89" s="6">
        <v>408000</v>
      </c>
      <c r="I89" s="5">
        <f t="shared" si="1"/>
        <v>136000</v>
      </c>
    </row>
    <row r="90" spans="1:9" x14ac:dyDescent="0.3">
      <c r="A90" t="s">
        <v>66</v>
      </c>
      <c r="B90" t="s">
        <v>9</v>
      </c>
      <c r="C90" t="s">
        <v>10</v>
      </c>
      <c r="D90" t="s">
        <v>31</v>
      </c>
      <c r="E90">
        <v>91</v>
      </c>
      <c r="F90" s="6">
        <v>1000</v>
      </c>
      <c r="G90" s="6">
        <v>700</v>
      </c>
      <c r="H90" s="6">
        <v>91000</v>
      </c>
      <c r="I90" s="5">
        <f t="shared" si="1"/>
        <v>27300</v>
      </c>
    </row>
    <row r="91" spans="1:9" x14ac:dyDescent="0.3">
      <c r="A91" t="s">
        <v>115</v>
      </c>
      <c r="B91" t="s">
        <v>20</v>
      </c>
      <c r="C91" t="s">
        <v>10</v>
      </c>
      <c r="D91" t="s">
        <v>15</v>
      </c>
      <c r="E91">
        <v>78</v>
      </c>
      <c r="F91" s="6">
        <v>4000</v>
      </c>
      <c r="G91" s="6">
        <v>3000</v>
      </c>
      <c r="H91" s="6">
        <v>312000</v>
      </c>
      <c r="I91" s="5">
        <f t="shared" si="1"/>
        <v>78000</v>
      </c>
    </row>
    <row r="92" spans="1:9" x14ac:dyDescent="0.3">
      <c r="A92" t="s">
        <v>116</v>
      </c>
      <c r="B92" t="s">
        <v>28</v>
      </c>
      <c r="C92" t="s">
        <v>17</v>
      </c>
      <c r="D92" t="s">
        <v>21</v>
      </c>
      <c r="E92">
        <v>120</v>
      </c>
      <c r="F92" s="6">
        <v>600</v>
      </c>
      <c r="G92" s="6">
        <v>400</v>
      </c>
      <c r="H92" s="6">
        <v>72000</v>
      </c>
      <c r="I92" s="5">
        <f t="shared" si="1"/>
        <v>24000</v>
      </c>
    </row>
    <row r="93" spans="1:9" x14ac:dyDescent="0.3">
      <c r="A93" t="s">
        <v>117</v>
      </c>
      <c r="B93" t="s">
        <v>20</v>
      </c>
      <c r="C93" t="s">
        <v>26</v>
      </c>
      <c r="D93" t="s">
        <v>34</v>
      </c>
      <c r="E93">
        <v>99</v>
      </c>
      <c r="F93" s="6">
        <v>10000</v>
      </c>
      <c r="G93" s="6">
        <v>7000</v>
      </c>
      <c r="H93" s="6">
        <v>990000</v>
      </c>
      <c r="I93" s="5">
        <f t="shared" si="1"/>
        <v>297000</v>
      </c>
    </row>
    <row r="94" spans="1:9" x14ac:dyDescent="0.3">
      <c r="A94" t="s">
        <v>37</v>
      </c>
      <c r="B94" t="s">
        <v>36</v>
      </c>
      <c r="C94" t="s">
        <v>26</v>
      </c>
      <c r="D94" t="s">
        <v>15</v>
      </c>
      <c r="E94">
        <v>141</v>
      </c>
      <c r="F94" s="6">
        <v>4000</v>
      </c>
      <c r="G94" s="6">
        <v>3000</v>
      </c>
      <c r="H94" s="6">
        <v>564000</v>
      </c>
      <c r="I94" s="5">
        <f t="shared" si="1"/>
        <v>141000</v>
      </c>
    </row>
    <row r="95" spans="1:9" x14ac:dyDescent="0.3">
      <c r="A95" t="s">
        <v>118</v>
      </c>
      <c r="B95" t="s">
        <v>13</v>
      </c>
      <c r="C95" t="s">
        <v>17</v>
      </c>
      <c r="D95" t="s">
        <v>24</v>
      </c>
      <c r="E95">
        <v>82</v>
      </c>
      <c r="F95" s="6">
        <v>1200</v>
      </c>
      <c r="G95" s="6">
        <v>800</v>
      </c>
      <c r="H95" s="6">
        <v>98400</v>
      </c>
      <c r="I95" s="5">
        <f t="shared" si="1"/>
        <v>32800</v>
      </c>
    </row>
    <row r="96" spans="1:9" x14ac:dyDescent="0.3">
      <c r="A96" t="s">
        <v>119</v>
      </c>
      <c r="B96" t="s">
        <v>23</v>
      </c>
      <c r="C96" t="s">
        <v>10</v>
      </c>
      <c r="D96" t="s">
        <v>15</v>
      </c>
      <c r="E96">
        <v>78</v>
      </c>
      <c r="F96" s="6">
        <v>4000</v>
      </c>
      <c r="G96" s="6">
        <v>3000</v>
      </c>
      <c r="H96" s="6">
        <v>312000</v>
      </c>
      <c r="I96" s="5">
        <f t="shared" si="1"/>
        <v>78000</v>
      </c>
    </row>
    <row r="97" spans="1:9" x14ac:dyDescent="0.3">
      <c r="A97" t="s">
        <v>71</v>
      </c>
      <c r="B97" t="s">
        <v>43</v>
      </c>
      <c r="C97" t="s">
        <v>17</v>
      </c>
      <c r="D97" t="s">
        <v>11</v>
      </c>
      <c r="E97">
        <v>71</v>
      </c>
      <c r="F97" s="6">
        <v>3500</v>
      </c>
      <c r="G97" s="6">
        <v>2500</v>
      </c>
      <c r="H97" s="6">
        <v>248500</v>
      </c>
      <c r="I97" s="5">
        <f t="shared" si="1"/>
        <v>71000</v>
      </c>
    </row>
    <row r="98" spans="1:9" x14ac:dyDescent="0.3">
      <c r="A98" t="s">
        <v>120</v>
      </c>
      <c r="B98" t="s">
        <v>9</v>
      </c>
      <c r="C98" t="s">
        <v>10</v>
      </c>
      <c r="D98" t="s">
        <v>34</v>
      </c>
      <c r="E98">
        <v>63</v>
      </c>
      <c r="F98" s="6">
        <v>10000</v>
      </c>
      <c r="G98" s="6">
        <v>7000</v>
      </c>
      <c r="H98" s="6">
        <v>630000</v>
      </c>
      <c r="I98" s="5">
        <f t="shared" si="1"/>
        <v>189000</v>
      </c>
    </row>
    <row r="99" spans="1:9" x14ac:dyDescent="0.3">
      <c r="A99" t="s">
        <v>121</v>
      </c>
      <c r="B99" t="s">
        <v>36</v>
      </c>
      <c r="C99" t="s">
        <v>14</v>
      </c>
      <c r="D99" t="s">
        <v>34</v>
      </c>
      <c r="E99">
        <v>50</v>
      </c>
      <c r="F99" s="6">
        <v>10000</v>
      </c>
      <c r="G99" s="6">
        <v>7000</v>
      </c>
      <c r="H99" s="6">
        <v>500000</v>
      </c>
      <c r="I99" s="5">
        <f t="shared" si="1"/>
        <v>150000</v>
      </c>
    </row>
    <row r="100" spans="1:9" x14ac:dyDescent="0.3">
      <c r="A100" t="s">
        <v>122</v>
      </c>
      <c r="B100" t="s">
        <v>28</v>
      </c>
      <c r="C100" t="s">
        <v>10</v>
      </c>
      <c r="D100" t="s">
        <v>18</v>
      </c>
      <c r="E100">
        <v>98</v>
      </c>
      <c r="F100" s="6">
        <v>6000</v>
      </c>
      <c r="G100" s="6">
        <v>4000</v>
      </c>
      <c r="H100" s="6">
        <v>588000</v>
      </c>
      <c r="I100" s="5">
        <f t="shared" si="1"/>
        <v>196000</v>
      </c>
    </row>
    <row r="101" spans="1:9" x14ac:dyDescent="0.3">
      <c r="A101" t="s">
        <v>123</v>
      </c>
      <c r="B101" t="s">
        <v>23</v>
      </c>
      <c r="C101" t="s">
        <v>10</v>
      </c>
      <c r="D101" t="s">
        <v>34</v>
      </c>
      <c r="E101">
        <v>64</v>
      </c>
      <c r="F101" s="6">
        <v>10000</v>
      </c>
      <c r="G101" s="6">
        <v>7000</v>
      </c>
      <c r="H101" s="6">
        <v>640000</v>
      </c>
      <c r="I101" s="5">
        <f t="shared" si="1"/>
        <v>192000</v>
      </c>
    </row>
    <row r="102" spans="1:9" x14ac:dyDescent="0.3">
      <c r="A102" t="s">
        <v>124</v>
      </c>
      <c r="B102" t="s">
        <v>28</v>
      </c>
      <c r="C102" t="s">
        <v>10</v>
      </c>
      <c r="D102" t="s">
        <v>34</v>
      </c>
      <c r="E102">
        <v>87</v>
      </c>
      <c r="F102" s="6">
        <v>10000</v>
      </c>
      <c r="G102" s="6">
        <v>7000</v>
      </c>
      <c r="H102" s="6">
        <v>870000</v>
      </c>
      <c r="I102" s="5">
        <f t="shared" si="1"/>
        <v>261000</v>
      </c>
    </row>
    <row r="103" spans="1:9" x14ac:dyDescent="0.3">
      <c r="A103" t="s">
        <v>125</v>
      </c>
      <c r="B103" t="s">
        <v>36</v>
      </c>
      <c r="C103" t="s">
        <v>26</v>
      </c>
      <c r="D103" t="s">
        <v>31</v>
      </c>
      <c r="E103">
        <v>67</v>
      </c>
      <c r="F103" s="6">
        <v>1000</v>
      </c>
      <c r="G103" s="6">
        <v>700</v>
      </c>
      <c r="H103" s="6">
        <v>67000</v>
      </c>
      <c r="I103" s="5">
        <f t="shared" si="1"/>
        <v>20100</v>
      </c>
    </row>
    <row r="104" spans="1:9" x14ac:dyDescent="0.3">
      <c r="A104" t="s">
        <v>126</v>
      </c>
      <c r="B104" t="s">
        <v>58</v>
      </c>
      <c r="C104" t="s">
        <v>14</v>
      </c>
      <c r="D104" t="s">
        <v>15</v>
      </c>
      <c r="E104">
        <v>150</v>
      </c>
      <c r="F104" s="6">
        <v>4000</v>
      </c>
      <c r="G104" s="6">
        <v>3000</v>
      </c>
      <c r="H104" s="6">
        <v>600000</v>
      </c>
      <c r="I104" s="5">
        <f t="shared" si="1"/>
        <v>150000</v>
      </c>
    </row>
    <row r="105" spans="1:9" x14ac:dyDescent="0.3">
      <c r="A105" t="s">
        <v>127</v>
      </c>
      <c r="B105" t="s">
        <v>30</v>
      </c>
      <c r="C105" t="s">
        <v>17</v>
      </c>
      <c r="D105" t="s">
        <v>31</v>
      </c>
      <c r="E105">
        <v>86</v>
      </c>
      <c r="F105" s="6">
        <v>1000</v>
      </c>
      <c r="G105" s="6">
        <v>700</v>
      </c>
      <c r="H105" s="6">
        <v>86000</v>
      </c>
      <c r="I105" s="5">
        <f t="shared" si="1"/>
        <v>25800</v>
      </c>
    </row>
    <row r="106" spans="1:9" x14ac:dyDescent="0.3">
      <c r="A106" t="s">
        <v>128</v>
      </c>
      <c r="B106" t="s">
        <v>23</v>
      </c>
      <c r="C106" t="s">
        <v>10</v>
      </c>
      <c r="D106" t="s">
        <v>31</v>
      </c>
      <c r="E106">
        <v>110</v>
      </c>
      <c r="F106" s="6">
        <v>1000</v>
      </c>
      <c r="G106" s="6">
        <v>700</v>
      </c>
      <c r="H106" s="6">
        <v>110000</v>
      </c>
      <c r="I106" s="5">
        <f t="shared" si="1"/>
        <v>33000</v>
      </c>
    </row>
    <row r="107" spans="1:9" x14ac:dyDescent="0.3">
      <c r="A107" t="s">
        <v>120</v>
      </c>
      <c r="B107" t="s">
        <v>30</v>
      </c>
      <c r="C107" t="s">
        <v>26</v>
      </c>
      <c r="D107" t="s">
        <v>34</v>
      </c>
      <c r="E107">
        <v>117</v>
      </c>
      <c r="F107" s="6">
        <v>10000</v>
      </c>
      <c r="G107" s="6">
        <v>7000</v>
      </c>
      <c r="H107" s="6">
        <v>1170000</v>
      </c>
      <c r="I107" s="5">
        <f t="shared" si="1"/>
        <v>351000</v>
      </c>
    </row>
    <row r="108" spans="1:9" x14ac:dyDescent="0.3">
      <c r="A108" t="s">
        <v>129</v>
      </c>
      <c r="B108" t="s">
        <v>13</v>
      </c>
      <c r="C108" t="s">
        <v>26</v>
      </c>
      <c r="D108" t="s">
        <v>11</v>
      </c>
      <c r="E108">
        <v>62</v>
      </c>
      <c r="F108" s="6">
        <v>3500</v>
      </c>
      <c r="G108" s="6">
        <v>2500</v>
      </c>
      <c r="H108" s="6">
        <v>217000</v>
      </c>
      <c r="I108" s="5">
        <f t="shared" si="1"/>
        <v>62000</v>
      </c>
    </row>
    <row r="109" spans="1:9" x14ac:dyDescent="0.3">
      <c r="A109" t="s">
        <v>130</v>
      </c>
      <c r="B109" t="s">
        <v>58</v>
      </c>
      <c r="C109" t="s">
        <v>26</v>
      </c>
      <c r="D109" t="s">
        <v>21</v>
      </c>
      <c r="E109">
        <v>129</v>
      </c>
      <c r="F109" s="6">
        <v>600</v>
      </c>
      <c r="G109" s="6">
        <v>400</v>
      </c>
      <c r="H109" s="6">
        <v>77400</v>
      </c>
      <c r="I109" s="5">
        <f t="shared" si="1"/>
        <v>25800</v>
      </c>
    </row>
    <row r="110" spans="1:9" x14ac:dyDescent="0.3">
      <c r="A110" t="s">
        <v>131</v>
      </c>
      <c r="B110" t="s">
        <v>20</v>
      </c>
      <c r="C110" t="s">
        <v>14</v>
      </c>
      <c r="D110" t="s">
        <v>15</v>
      </c>
      <c r="E110">
        <v>57</v>
      </c>
      <c r="F110" s="6">
        <v>4000</v>
      </c>
      <c r="G110" s="6">
        <v>3000</v>
      </c>
      <c r="H110" s="6">
        <v>228000</v>
      </c>
      <c r="I110" s="5">
        <f t="shared" si="1"/>
        <v>57000</v>
      </c>
    </row>
    <row r="111" spans="1:9" x14ac:dyDescent="0.3">
      <c r="A111" t="s">
        <v>132</v>
      </c>
      <c r="B111" t="s">
        <v>36</v>
      </c>
      <c r="C111" t="s">
        <v>10</v>
      </c>
      <c r="D111" t="s">
        <v>21</v>
      </c>
      <c r="E111">
        <v>88</v>
      </c>
      <c r="F111" s="6">
        <v>600</v>
      </c>
      <c r="G111" s="6">
        <v>400</v>
      </c>
      <c r="H111" s="6">
        <v>52800</v>
      </c>
      <c r="I111" s="5">
        <f t="shared" si="1"/>
        <v>17600</v>
      </c>
    </row>
    <row r="112" spans="1:9" x14ac:dyDescent="0.3">
      <c r="A112" t="s">
        <v>133</v>
      </c>
      <c r="B112" t="s">
        <v>20</v>
      </c>
      <c r="C112" t="s">
        <v>26</v>
      </c>
      <c r="D112" t="s">
        <v>21</v>
      </c>
      <c r="E112">
        <v>102</v>
      </c>
      <c r="F112" s="6">
        <v>600</v>
      </c>
      <c r="G112" s="6">
        <v>400</v>
      </c>
      <c r="H112" s="6">
        <v>61200</v>
      </c>
      <c r="I112" s="5">
        <f t="shared" si="1"/>
        <v>20400</v>
      </c>
    </row>
    <row r="113" spans="1:9" x14ac:dyDescent="0.3">
      <c r="A113" t="s">
        <v>134</v>
      </c>
      <c r="B113" t="s">
        <v>13</v>
      </c>
      <c r="C113" t="s">
        <v>17</v>
      </c>
      <c r="D113" t="s">
        <v>18</v>
      </c>
      <c r="E113">
        <v>107</v>
      </c>
      <c r="F113" s="6">
        <v>6000</v>
      </c>
      <c r="G113" s="6">
        <v>4000</v>
      </c>
      <c r="H113" s="6">
        <v>642000</v>
      </c>
      <c r="I113" s="5">
        <f t="shared" si="1"/>
        <v>214000</v>
      </c>
    </row>
    <row r="114" spans="1:9" x14ac:dyDescent="0.3">
      <c r="A114" t="s">
        <v>135</v>
      </c>
      <c r="B114" t="s">
        <v>28</v>
      </c>
      <c r="C114" t="s">
        <v>14</v>
      </c>
      <c r="D114" t="s">
        <v>15</v>
      </c>
      <c r="E114">
        <v>133</v>
      </c>
      <c r="F114" s="6">
        <v>4000</v>
      </c>
      <c r="G114" s="6">
        <v>3000</v>
      </c>
      <c r="H114" s="6">
        <v>532000</v>
      </c>
      <c r="I114" s="5">
        <f t="shared" si="1"/>
        <v>133000</v>
      </c>
    </row>
    <row r="115" spans="1:9" x14ac:dyDescent="0.3">
      <c r="A115" t="s">
        <v>136</v>
      </c>
      <c r="B115" t="s">
        <v>13</v>
      </c>
      <c r="C115" t="s">
        <v>17</v>
      </c>
      <c r="D115" t="s">
        <v>18</v>
      </c>
      <c r="E115">
        <v>124</v>
      </c>
      <c r="F115" s="6">
        <v>6000</v>
      </c>
      <c r="G115" s="6">
        <v>4000</v>
      </c>
      <c r="H115" s="6">
        <v>744000</v>
      </c>
      <c r="I115" s="5">
        <f t="shared" si="1"/>
        <v>248000</v>
      </c>
    </row>
    <row r="116" spans="1:9" x14ac:dyDescent="0.3">
      <c r="A116" t="s">
        <v>137</v>
      </c>
      <c r="B116" t="s">
        <v>9</v>
      </c>
      <c r="C116" t="s">
        <v>26</v>
      </c>
      <c r="D116" t="s">
        <v>31</v>
      </c>
      <c r="E116">
        <v>115</v>
      </c>
      <c r="F116" s="6">
        <v>1000</v>
      </c>
      <c r="G116" s="6">
        <v>700</v>
      </c>
      <c r="H116" s="6">
        <v>115000</v>
      </c>
      <c r="I116" s="5">
        <f t="shared" si="1"/>
        <v>34500</v>
      </c>
    </row>
    <row r="117" spans="1:9" x14ac:dyDescent="0.3">
      <c r="A117" t="s">
        <v>138</v>
      </c>
      <c r="B117" t="s">
        <v>40</v>
      </c>
      <c r="C117" t="s">
        <v>14</v>
      </c>
      <c r="D117" t="s">
        <v>18</v>
      </c>
      <c r="E117">
        <v>129</v>
      </c>
      <c r="F117" s="6">
        <v>6000</v>
      </c>
      <c r="G117" s="6">
        <v>4000</v>
      </c>
      <c r="H117" s="6">
        <v>774000</v>
      </c>
      <c r="I117" s="5">
        <f t="shared" si="1"/>
        <v>258000</v>
      </c>
    </row>
    <row r="118" spans="1:9" x14ac:dyDescent="0.3">
      <c r="A118" t="s">
        <v>139</v>
      </c>
      <c r="B118" t="s">
        <v>20</v>
      </c>
      <c r="C118" t="s">
        <v>26</v>
      </c>
      <c r="D118" t="s">
        <v>11</v>
      </c>
      <c r="E118">
        <v>131</v>
      </c>
      <c r="F118" s="6">
        <v>3500</v>
      </c>
      <c r="G118" s="6">
        <v>2500</v>
      </c>
      <c r="H118" s="6">
        <v>458500</v>
      </c>
      <c r="I118" s="5">
        <f t="shared" si="1"/>
        <v>131000</v>
      </c>
    </row>
    <row r="119" spans="1:9" x14ac:dyDescent="0.3">
      <c r="A119" t="s">
        <v>140</v>
      </c>
      <c r="B119" t="s">
        <v>28</v>
      </c>
      <c r="C119" t="s">
        <v>17</v>
      </c>
      <c r="D119" t="s">
        <v>11</v>
      </c>
      <c r="E119">
        <v>148</v>
      </c>
      <c r="F119" s="6">
        <v>3500</v>
      </c>
      <c r="G119" s="6">
        <v>2500</v>
      </c>
      <c r="H119" s="6">
        <v>518000</v>
      </c>
      <c r="I119" s="5">
        <f t="shared" si="1"/>
        <v>148000</v>
      </c>
    </row>
    <row r="120" spans="1:9" x14ac:dyDescent="0.3">
      <c r="A120" t="s">
        <v>92</v>
      </c>
      <c r="B120" t="s">
        <v>36</v>
      </c>
      <c r="C120" t="s">
        <v>10</v>
      </c>
      <c r="D120" t="s">
        <v>34</v>
      </c>
      <c r="E120">
        <v>80</v>
      </c>
      <c r="F120" s="6">
        <v>10000</v>
      </c>
      <c r="G120" s="6">
        <v>7000</v>
      </c>
      <c r="H120" s="6">
        <v>800000</v>
      </c>
      <c r="I120" s="5">
        <f t="shared" si="1"/>
        <v>240000</v>
      </c>
    </row>
    <row r="121" spans="1:9" x14ac:dyDescent="0.3">
      <c r="A121" t="s">
        <v>141</v>
      </c>
      <c r="B121" t="s">
        <v>58</v>
      </c>
      <c r="C121" t="s">
        <v>26</v>
      </c>
      <c r="D121" t="s">
        <v>31</v>
      </c>
      <c r="E121">
        <v>103</v>
      </c>
      <c r="F121" s="6">
        <v>1000</v>
      </c>
      <c r="G121" s="6">
        <v>700</v>
      </c>
      <c r="H121" s="6">
        <v>103000</v>
      </c>
      <c r="I121" s="5">
        <f t="shared" si="1"/>
        <v>30900</v>
      </c>
    </row>
    <row r="122" spans="1:9" x14ac:dyDescent="0.3">
      <c r="A122" t="s">
        <v>140</v>
      </c>
      <c r="B122" t="s">
        <v>9</v>
      </c>
      <c r="C122" t="s">
        <v>14</v>
      </c>
      <c r="D122" t="s">
        <v>24</v>
      </c>
      <c r="E122">
        <v>148</v>
      </c>
      <c r="F122" s="6">
        <v>1200</v>
      </c>
      <c r="G122" s="6">
        <v>800</v>
      </c>
      <c r="H122" s="6">
        <v>177600</v>
      </c>
      <c r="I122" s="5">
        <f t="shared" si="1"/>
        <v>59200</v>
      </c>
    </row>
    <row r="123" spans="1:9" x14ac:dyDescent="0.3">
      <c r="A123" t="s">
        <v>140</v>
      </c>
      <c r="B123" t="s">
        <v>20</v>
      </c>
      <c r="C123" t="s">
        <v>26</v>
      </c>
      <c r="D123" t="s">
        <v>11</v>
      </c>
      <c r="E123">
        <v>91</v>
      </c>
      <c r="F123" s="6">
        <v>3500</v>
      </c>
      <c r="G123" s="6">
        <v>2500</v>
      </c>
      <c r="H123" s="6">
        <v>318500</v>
      </c>
      <c r="I123" s="5">
        <f t="shared" si="1"/>
        <v>91000</v>
      </c>
    </row>
    <row r="124" spans="1:9" x14ac:dyDescent="0.3">
      <c r="A124" t="s">
        <v>142</v>
      </c>
      <c r="B124" t="s">
        <v>40</v>
      </c>
      <c r="C124" t="s">
        <v>10</v>
      </c>
      <c r="D124" t="s">
        <v>24</v>
      </c>
      <c r="E124">
        <v>60</v>
      </c>
      <c r="F124" s="6">
        <v>1200</v>
      </c>
      <c r="G124" s="6">
        <v>800</v>
      </c>
      <c r="H124" s="6">
        <v>72000</v>
      </c>
      <c r="I124" s="5">
        <f t="shared" si="1"/>
        <v>24000</v>
      </c>
    </row>
    <row r="125" spans="1:9" x14ac:dyDescent="0.3">
      <c r="A125" t="s">
        <v>140</v>
      </c>
      <c r="B125" t="s">
        <v>9</v>
      </c>
      <c r="C125" t="s">
        <v>26</v>
      </c>
      <c r="D125" t="s">
        <v>15</v>
      </c>
      <c r="E125">
        <v>138</v>
      </c>
      <c r="F125" s="6">
        <v>4000</v>
      </c>
      <c r="G125" s="6">
        <v>3000</v>
      </c>
      <c r="H125" s="6">
        <v>552000</v>
      </c>
      <c r="I125" s="5">
        <f t="shared" si="1"/>
        <v>138000</v>
      </c>
    </row>
    <row r="126" spans="1:9" x14ac:dyDescent="0.3">
      <c r="A126" t="s">
        <v>143</v>
      </c>
      <c r="B126" t="s">
        <v>40</v>
      </c>
      <c r="C126" t="s">
        <v>14</v>
      </c>
      <c r="D126" t="s">
        <v>18</v>
      </c>
      <c r="E126">
        <v>72</v>
      </c>
      <c r="F126" s="6">
        <v>6000</v>
      </c>
      <c r="G126" s="6">
        <v>4000</v>
      </c>
      <c r="H126" s="6">
        <v>432000</v>
      </c>
      <c r="I126" s="5">
        <f t="shared" si="1"/>
        <v>144000</v>
      </c>
    </row>
    <row r="127" spans="1:9" x14ac:dyDescent="0.3">
      <c r="A127" t="s">
        <v>144</v>
      </c>
      <c r="B127" t="s">
        <v>58</v>
      </c>
      <c r="C127" t="s">
        <v>14</v>
      </c>
      <c r="D127" t="s">
        <v>11</v>
      </c>
      <c r="E127">
        <v>113</v>
      </c>
      <c r="F127" s="6">
        <v>3500</v>
      </c>
      <c r="G127" s="6">
        <v>2500</v>
      </c>
      <c r="H127" s="6">
        <v>395500</v>
      </c>
      <c r="I127" s="5">
        <f t="shared" si="1"/>
        <v>113000</v>
      </c>
    </row>
    <row r="128" spans="1:9" x14ac:dyDescent="0.3">
      <c r="A128" t="s">
        <v>145</v>
      </c>
      <c r="B128" t="s">
        <v>43</v>
      </c>
      <c r="C128" t="s">
        <v>14</v>
      </c>
      <c r="D128" t="s">
        <v>31</v>
      </c>
      <c r="E128">
        <v>125</v>
      </c>
      <c r="F128" s="6">
        <v>1000</v>
      </c>
      <c r="G128" s="6">
        <v>700</v>
      </c>
      <c r="H128" s="6">
        <v>125000</v>
      </c>
      <c r="I128" s="5">
        <f t="shared" si="1"/>
        <v>37500</v>
      </c>
    </row>
    <row r="129" spans="1:9" x14ac:dyDescent="0.3">
      <c r="A129" t="s">
        <v>146</v>
      </c>
      <c r="B129" t="s">
        <v>23</v>
      </c>
      <c r="C129" t="s">
        <v>17</v>
      </c>
      <c r="D129" t="s">
        <v>18</v>
      </c>
      <c r="E129">
        <v>50</v>
      </c>
      <c r="F129" s="6">
        <v>6000</v>
      </c>
      <c r="G129" s="6">
        <v>4000</v>
      </c>
      <c r="H129" s="6">
        <v>300000</v>
      </c>
      <c r="I129" s="5">
        <f t="shared" si="1"/>
        <v>100000</v>
      </c>
    </row>
    <row r="130" spans="1:9" x14ac:dyDescent="0.3">
      <c r="A130" t="s">
        <v>147</v>
      </c>
      <c r="B130" t="s">
        <v>20</v>
      </c>
      <c r="C130" t="s">
        <v>17</v>
      </c>
      <c r="D130" t="s">
        <v>11</v>
      </c>
      <c r="E130">
        <v>117</v>
      </c>
      <c r="F130" s="6">
        <v>3500</v>
      </c>
      <c r="G130" s="6">
        <v>2500</v>
      </c>
      <c r="H130" s="6">
        <v>409500</v>
      </c>
      <c r="I130" s="5">
        <f t="shared" ref="I130:I193" si="2">H130-(G130*E130)</f>
        <v>117000</v>
      </c>
    </row>
    <row r="131" spans="1:9" x14ac:dyDescent="0.3">
      <c r="A131" t="s">
        <v>148</v>
      </c>
      <c r="B131" t="s">
        <v>28</v>
      </c>
      <c r="C131" t="s">
        <v>14</v>
      </c>
      <c r="D131" t="s">
        <v>18</v>
      </c>
      <c r="E131">
        <v>79</v>
      </c>
      <c r="F131" s="6">
        <v>6000</v>
      </c>
      <c r="G131" s="6">
        <v>4000</v>
      </c>
      <c r="H131" s="6">
        <v>474000</v>
      </c>
      <c r="I131" s="5">
        <f t="shared" si="2"/>
        <v>158000</v>
      </c>
    </row>
    <row r="132" spans="1:9" x14ac:dyDescent="0.3">
      <c r="A132" t="s">
        <v>102</v>
      </c>
      <c r="B132" t="s">
        <v>13</v>
      </c>
      <c r="C132" t="s">
        <v>26</v>
      </c>
      <c r="D132" t="s">
        <v>34</v>
      </c>
      <c r="E132">
        <v>135</v>
      </c>
      <c r="F132" s="6">
        <v>10000</v>
      </c>
      <c r="G132" s="6">
        <v>7000</v>
      </c>
      <c r="H132" s="6">
        <v>1350000</v>
      </c>
      <c r="I132" s="5">
        <f t="shared" si="2"/>
        <v>405000</v>
      </c>
    </row>
    <row r="133" spans="1:9" x14ac:dyDescent="0.3">
      <c r="A133" t="s">
        <v>149</v>
      </c>
      <c r="B133" t="s">
        <v>58</v>
      </c>
      <c r="C133" t="s">
        <v>10</v>
      </c>
      <c r="D133" t="s">
        <v>24</v>
      </c>
      <c r="E133">
        <v>143</v>
      </c>
      <c r="F133" s="6">
        <v>1200</v>
      </c>
      <c r="G133" s="6">
        <v>800</v>
      </c>
      <c r="H133" s="6">
        <v>171600</v>
      </c>
      <c r="I133" s="5">
        <f t="shared" si="2"/>
        <v>57200</v>
      </c>
    </row>
    <row r="134" spans="1:9" x14ac:dyDescent="0.3">
      <c r="A134" t="s">
        <v>62</v>
      </c>
      <c r="B134" t="s">
        <v>23</v>
      </c>
      <c r="C134" t="s">
        <v>17</v>
      </c>
      <c r="D134" t="s">
        <v>11</v>
      </c>
      <c r="E134">
        <v>121</v>
      </c>
      <c r="F134" s="6">
        <v>3500</v>
      </c>
      <c r="G134" s="6">
        <v>2500</v>
      </c>
      <c r="H134" s="6">
        <v>423500</v>
      </c>
      <c r="I134" s="5">
        <f t="shared" si="2"/>
        <v>121000</v>
      </c>
    </row>
    <row r="135" spans="1:9" x14ac:dyDescent="0.3">
      <c r="A135" t="s">
        <v>150</v>
      </c>
      <c r="B135" t="s">
        <v>23</v>
      </c>
      <c r="C135" t="s">
        <v>10</v>
      </c>
      <c r="D135" t="s">
        <v>31</v>
      </c>
      <c r="E135">
        <v>116</v>
      </c>
      <c r="F135" s="6">
        <v>1000</v>
      </c>
      <c r="G135" s="6">
        <v>700</v>
      </c>
      <c r="H135" s="6">
        <v>116000</v>
      </c>
      <c r="I135" s="5">
        <f t="shared" si="2"/>
        <v>34800</v>
      </c>
    </row>
    <row r="136" spans="1:9" x14ac:dyDescent="0.3">
      <c r="A136" t="s">
        <v>151</v>
      </c>
      <c r="B136" t="s">
        <v>30</v>
      </c>
      <c r="C136" t="s">
        <v>26</v>
      </c>
      <c r="D136" t="s">
        <v>18</v>
      </c>
      <c r="E136">
        <v>66</v>
      </c>
      <c r="F136" s="6">
        <v>6000</v>
      </c>
      <c r="G136" s="6">
        <v>4000</v>
      </c>
      <c r="H136" s="6">
        <v>396000</v>
      </c>
      <c r="I136" s="5">
        <f t="shared" si="2"/>
        <v>132000</v>
      </c>
    </row>
    <row r="137" spans="1:9" x14ac:dyDescent="0.3">
      <c r="A137" t="s">
        <v>152</v>
      </c>
      <c r="B137" t="s">
        <v>13</v>
      </c>
      <c r="C137" t="s">
        <v>17</v>
      </c>
      <c r="D137" t="s">
        <v>24</v>
      </c>
      <c r="E137">
        <v>129</v>
      </c>
      <c r="F137" s="6">
        <v>1200</v>
      </c>
      <c r="G137" s="6">
        <v>800</v>
      </c>
      <c r="H137" s="6">
        <v>154800</v>
      </c>
      <c r="I137" s="5">
        <f t="shared" si="2"/>
        <v>51600</v>
      </c>
    </row>
    <row r="138" spans="1:9" x14ac:dyDescent="0.3">
      <c r="A138" t="s">
        <v>81</v>
      </c>
      <c r="B138" t="s">
        <v>28</v>
      </c>
      <c r="C138" t="s">
        <v>26</v>
      </c>
      <c r="D138" t="s">
        <v>15</v>
      </c>
      <c r="E138">
        <v>86</v>
      </c>
      <c r="F138" s="6">
        <v>4000</v>
      </c>
      <c r="G138" s="6">
        <v>3000</v>
      </c>
      <c r="H138" s="6">
        <v>344000</v>
      </c>
      <c r="I138" s="5">
        <f t="shared" si="2"/>
        <v>86000</v>
      </c>
    </row>
    <row r="139" spans="1:9" x14ac:dyDescent="0.3">
      <c r="A139" t="s">
        <v>151</v>
      </c>
      <c r="B139" t="s">
        <v>20</v>
      </c>
      <c r="C139" t="s">
        <v>26</v>
      </c>
      <c r="D139" t="s">
        <v>24</v>
      </c>
      <c r="E139">
        <v>132</v>
      </c>
      <c r="F139" s="6">
        <v>1200</v>
      </c>
      <c r="G139" s="6">
        <v>800</v>
      </c>
      <c r="H139" s="6">
        <v>158400</v>
      </c>
      <c r="I139" s="5">
        <f t="shared" si="2"/>
        <v>52800</v>
      </c>
    </row>
    <row r="140" spans="1:9" x14ac:dyDescent="0.3">
      <c r="A140" t="s">
        <v>153</v>
      </c>
      <c r="B140" t="s">
        <v>20</v>
      </c>
      <c r="C140" t="s">
        <v>17</v>
      </c>
      <c r="D140" t="s">
        <v>11</v>
      </c>
      <c r="E140">
        <v>83</v>
      </c>
      <c r="F140" s="6">
        <v>3500</v>
      </c>
      <c r="G140" s="6">
        <v>2500</v>
      </c>
      <c r="H140" s="6">
        <v>290500</v>
      </c>
      <c r="I140" s="5">
        <f t="shared" si="2"/>
        <v>83000</v>
      </c>
    </row>
    <row r="141" spans="1:9" x14ac:dyDescent="0.3">
      <c r="A141" t="s">
        <v>154</v>
      </c>
      <c r="B141" t="s">
        <v>23</v>
      </c>
      <c r="C141" t="s">
        <v>10</v>
      </c>
      <c r="D141" t="s">
        <v>31</v>
      </c>
      <c r="E141">
        <v>117</v>
      </c>
      <c r="F141" s="6">
        <v>1000</v>
      </c>
      <c r="G141" s="6">
        <v>700</v>
      </c>
      <c r="H141" s="6">
        <v>117000</v>
      </c>
      <c r="I141" s="5">
        <f t="shared" si="2"/>
        <v>35100</v>
      </c>
    </row>
    <row r="142" spans="1:9" x14ac:dyDescent="0.3">
      <c r="A142" t="s">
        <v>120</v>
      </c>
      <c r="B142" t="s">
        <v>40</v>
      </c>
      <c r="C142" t="s">
        <v>10</v>
      </c>
      <c r="D142" t="s">
        <v>15</v>
      </c>
      <c r="E142">
        <v>89</v>
      </c>
      <c r="F142" s="6">
        <v>4000</v>
      </c>
      <c r="G142" s="6">
        <v>3000</v>
      </c>
      <c r="H142" s="6">
        <v>356000</v>
      </c>
      <c r="I142" s="5">
        <f t="shared" si="2"/>
        <v>89000</v>
      </c>
    </row>
    <row r="143" spans="1:9" x14ac:dyDescent="0.3">
      <c r="A143" t="s">
        <v>155</v>
      </c>
      <c r="B143" t="s">
        <v>23</v>
      </c>
      <c r="C143" t="s">
        <v>26</v>
      </c>
      <c r="D143" t="s">
        <v>34</v>
      </c>
      <c r="E143">
        <v>82</v>
      </c>
      <c r="F143" s="6">
        <v>10000</v>
      </c>
      <c r="G143" s="6">
        <v>7000</v>
      </c>
      <c r="H143" s="6">
        <v>820000</v>
      </c>
      <c r="I143" s="5">
        <f t="shared" si="2"/>
        <v>246000</v>
      </c>
    </row>
    <row r="144" spans="1:9" x14ac:dyDescent="0.3">
      <c r="A144" t="s">
        <v>156</v>
      </c>
      <c r="B144" t="s">
        <v>40</v>
      </c>
      <c r="C144" t="s">
        <v>17</v>
      </c>
      <c r="D144" t="s">
        <v>11</v>
      </c>
      <c r="E144">
        <v>140</v>
      </c>
      <c r="F144" s="6">
        <v>3500</v>
      </c>
      <c r="G144" s="6">
        <v>2500</v>
      </c>
      <c r="H144" s="6">
        <v>490000</v>
      </c>
      <c r="I144" s="5">
        <f t="shared" si="2"/>
        <v>140000</v>
      </c>
    </row>
    <row r="145" spans="1:9" x14ac:dyDescent="0.3">
      <c r="A145" t="s">
        <v>157</v>
      </c>
      <c r="B145" t="s">
        <v>30</v>
      </c>
      <c r="C145" t="s">
        <v>10</v>
      </c>
      <c r="D145" t="s">
        <v>31</v>
      </c>
      <c r="E145">
        <v>129</v>
      </c>
      <c r="F145" s="6">
        <v>1000</v>
      </c>
      <c r="G145" s="6">
        <v>700</v>
      </c>
      <c r="H145" s="6">
        <v>129000</v>
      </c>
      <c r="I145" s="5">
        <f t="shared" si="2"/>
        <v>38700</v>
      </c>
    </row>
    <row r="146" spans="1:9" x14ac:dyDescent="0.3">
      <c r="A146" t="s">
        <v>158</v>
      </c>
      <c r="B146" t="s">
        <v>20</v>
      </c>
      <c r="C146" t="s">
        <v>26</v>
      </c>
      <c r="D146" t="s">
        <v>21</v>
      </c>
      <c r="E146">
        <v>102</v>
      </c>
      <c r="F146" s="6">
        <v>600</v>
      </c>
      <c r="G146" s="6">
        <v>400</v>
      </c>
      <c r="H146" s="6">
        <v>61200</v>
      </c>
      <c r="I146" s="5">
        <f t="shared" si="2"/>
        <v>20400</v>
      </c>
    </row>
    <row r="147" spans="1:9" x14ac:dyDescent="0.3">
      <c r="A147" t="s">
        <v>159</v>
      </c>
      <c r="B147" t="s">
        <v>40</v>
      </c>
      <c r="C147" t="s">
        <v>17</v>
      </c>
      <c r="D147" t="s">
        <v>15</v>
      </c>
      <c r="E147">
        <v>69</v>
      </c>
      <c r="F147" s="6">
        <v>4000</v>
      </c>
      <c r="G147" s="6">
        <v>3000</v>
      </c>
      <c r="H147" s="6">
        <v>276000</v>
      </c>
      <c r="I147" s="5">
        <f t="shared" si="2"/>
        <v>69000</v>
      </c>
    </row>
    <row r="148" spans="1:9" x14ac:dyDescent="0.3">
      <c r="A148" t="s">
        <v>160</v>
      </c>
      <c r="B148" t="s">
        <v>9</v>
      </c>
      <c r="C148" t="s">
        <v>10</v>
      </c>
      <c r="D148" t="s">
        <v>11</v>
      </c>
      <c r="E148">
        <v>116</v>
      </c>
      <c r="F148" s="6">
        <v>3500</v>
      </c>
      <c r="G148" s="6">
        <v>2500</v>
      </c>
      <c r="H148" s="6">
        <v>406000</v>
      </c>
      <c r="I148" s="5">
        <f t="shared" si="2"/>
        <v>116000</v>
      </c>
    </row>
    <row r="149" spans="1:9" x14ac:dyDescent="0.3">
      <c r="A149" t="s">
        <v>161</v>
      </c>
      <c r="B149" t="s">
        <v>28</v>
      </c>
      <c r="C149" t="s">
        <v>17</v>
      </c>
      <c r="D149" t="s">
        <v>34</v>
      </c>
      <c r="E149">
        <v>51</v>
      </c>
      <c r="F149" s="6">
        <v>10000</v>
      </c>
      <c r="G149" s="6">
        <v>7000</v>
      </c>
      <c r="H149" s="6">
        <v>510000</v>
      </c>
      <c r="I149" s="5">
        <f t="shared" si="2"/>
        <v>153000</v>
      </c>
    </row>
    <row r="150" spans="1:9" x14ac:dyDescent="0.3">
      <c r="A150" t="s">
        <v>162</v>
      </c>
      <c r="B150" t="s">
        <v>58</v>
      </c>
      <c r="C150" t="s">
        <v>14</v>
      </c>
      <c r="D150" t="s">
        <v>34</v>
      </c>
      <c r="E150">
        <v>111</v>
      </c>
      <c r="F150" s="6">
        <v>10000</v>
      </c>
      <c r="G150" s="6">
        <v>7000</v>
      </c>
      <c r="H150" s="6">
        <v>1110000</v>
      </c>
      <c r="I150" s="5">
        <f t="shared" si="2"/>
        <v>333000</v>
      </c>
    </row>
    <row r="151" spans="1:9" x14ac:dyDescent="0.3">
      <c r="A151" t="s">
        <v>163</v>
      </c>
      <c r="B151" t="s">
        <v>40</v>
      </c>
      <c r="C151" t="s">
        <v>17</v>
      </c>
      <c r="D151" t="s">
        <v>31</v>
      </c>
      <c r="E151">
        <v>108</v>
      </c>
      <c r="F151" s="6">
        <v>1000</v>
      </c>
      <c r="G151" s="6">
        <v>700</v>
      </c>
      <c r="H151" s="6">
        <v>108000</v>
      </c>
      <c r="I151" s="5">
        <f t="shared" si="2"/>
        <v>32400</v>
      </c>
    </row>
    <row r="152" spans="1:9" x14ac:dyDescent="0.3">
      <c r="A152" t="s">
        <v>164</v>
      </c>
      <c r="B152" t="s">
        <v>23</v>
      </c>
      <c r="C152" t="s">
        <v>26</v>
      </c>
      <c r="D152" t="s">
        <v>24</v>
      </c>
      <c r="E152">
        <v>84</v>
      </c>
      <c r="F152" s="6">
        <v>1200</v>
      </c>
      <c r="G152" s="6">
        <v>800</v>
      </c>
      <c r="H152" s="6">
        <v>100800</v>
      </c>
      <c r="I152" s="5">
        <f t="shared" si="2"/>
        <v>33600</v>
      </c>
    </row>
    <row r="153" spans="1:9" x14ac:dyDescent="0.3">
      <c r="A153" t="s">
        <v>165</v>
      </c>
      <c r="B153" t="s">
        <v>23</v>
      </c>
      <c r="C153" t="s">
        <v>10</v>
      </c>
      <c r="D153" t="s">
        <v>21</v>
      </c>
      <c r="E153">
        <v>123</v>
      </c>
      <c r="F153" s="6">
        <v>600</v>
      </c>
      <c r="G153" s="6">
        <v>400</v>
      </c>
      <c r="H153" s="6">
        <v>73800</v>
      </c>
      <c r="I153" s="5">
        <f t="shared" si="2"/>
        <v>24600</v>
      </c>
    </row>
    <row r="154" spans="1:9" x14ac:dyDescent="0.3">
      <c r="A154" t="s">
        <v>166</v>
      </c>
      <c r="B154" t="s">
        <v>9</v>
      </c>
      <c r="C154" t="s">
        <v>26</v>
      </c>
      <c r="D154" t="s">
        <v>34</v>
      </c>
      <c r="E154">
        <v>114</v>
      </c>
      <c r="F154" s="6">
        <v>10000</v>
      </c>
      <c r="G154" s="6">
        <v>7000</v>
      </c>
      <c r="H154" s="6">
        <v>1140000</v>
      </c>
      <c r="I154" s="5">
        <f t="shared" si="2"/>
        <v>342000</v>
      </c>
    </row>
    <row r="155" spans="1:9" x14ac:dyDescent="0.3">
      <c r="A155" t="s">
        <v>167</v>
      </c>
      <c r="B155" t="s">
        <v>28</v>
      </c>
      <c r="C155" t="s">
        <v>26</v>
      </c>
      <c r="D155" t="s">
        <v>31</v>
      </c>
      <c r="E155">
        <v>55</v>
      </c>
      <c r="F155" s="6">
        <v>1000</v>
      </c>
      <c r="G155" s="6">
        <v>700</v>
      </c>
      <c r="H155" s="6">
        <v>55000</v>
      </c>
      <c r="I155" s="5">
        <f t="shared" si="2"/>
        <v>16500</v>
      </c>
    </row>
    <row r="156" spans="1:9" x14ac:dyDescent="0.3">
      <c r="A156" t="s">
        <v>168</v>
      </c>
      <c r="B156" t="s">
        <v>23</v>
      </c>
      <c r="C156" t="s">
        <v>10</v>
      </c>
      <c r="D156" t="s">
        <v>18</v>
      </c>
      <c r="E156">
        <v>76</v>
      </c>
      <c r="F156" s="6">
        <v>6000</v>
      </c>
      <c r="G156" s="6">
        <v>4000</v>
      </c>
      <c r="H156" s="6">
        <v>456000</v>
      </c>
      <c r="I156" s="5">
        <f t="shared" si="2"/>
        <v>152000</v>
      </c>
    </row>
    <row r="157" spans="1:9" x14ac:dyDescent="0.3">
      <c r="A157" t="s">
        <v>169</v>
      </c>
      <c r="B157" t="s">
        <v>58</v>
      </c>
      <c r="C157" t="s">
        <v>26</v>
      </c>
      <c r="D157" t="s">
        <v>11</v>
      </c>
      <c r="E157">
        <v>89</v>
      </c>
      <c r="F157" s="6">
        <v>3500</v>
      </c>
      <c r="G157" s="6">
        <v>2500</v>
      </c>
      <c r="H157" s="6">
        <v>311500</v>
      </c>
      <c r="I157" s="5">
        <f t="shared" si="2"/>
        <v>89000</v>
      </c>
    </row>
    <row r="158" spans="1:9" x14ac:dyDescent="0.3">
      <c r="A158" t="s">
        <v>170</v>
      </c>
      <c r="B158" t="s">
        <v>9</v>
      </c>
      <c r="C158" t="s">
        <v>14</v>
      </c>
      <c r="D158" t="s">
        <v>15</v>
      </c>
      <c r="E158">
        <v>112</v>
      </c>
      <c r="F158" s="6">
        <v>4000</v>
      </c>
      <c r="G158" s="6">
        <v>3000</v>
      </c>
      <c r="H158" s="6">
        <v>448000</v>
      </c>
      <c r="I158" s="5">
        <f t="shared" si="2"/>
        <v>112000</v>
      </c>
    </row>
    <row r="159" spans="1:9" x14ac:dyDescent="0.3">
      <c r="A159" t="s">
        <v>171</v>
      </c>
      <c r="B159" t="s">
        <v>43</v>
      </c>
      <c r="C159" t="s">
        <v>26</v>
      </c>
      <c r="D159" t="s">
        <v>18</v>
      </c>
      <c r="E159">
        <v>92</v>
      </c>
      <c r="F159" s="6">
        <v>6000</v>
      </c>
      <c r="G159" s="6">
        <v>4000</v>
      </c>
      <c r="H159" s="6">
        <v>552000</v>
      </c>
      <c r="I159" s="5">
        <f t="shared" si="2"/>
        <v>184000</v>
      </c>
    </row>
    <row r="160" spans="1:9" x14ac:dyDescent="0.3">
      <c r="A160" t="s">
        <v>172</v>
      </c>
      <c r="B160" t="s">
        <v>43</v>
      </c>
      <c r="C160" t="s">
        <v>14</v>
      </c>
      <c r="D160" t="s">
        <v>11</v>
      </c>
      <c r="E160">
        <v>55</v>
      </c>
      <c r="F160" s="6">
        <v>3500</v>
      </c>
      <c r="G160" s="6">
        <v>2500</v>
      </c>
      <c r="H160" s="6">
        <v>192500</v>
      </c>
      <c r="I160" s="5">
        <f t="shared" si="2"/>
        <v>55000</v>
      </c>
    </row>
    <row r="161" spans="1:9" x14ac:dyDescent="0.3">
      <c r="A161" t="s">
        <v>173</v>
      </c>
      <c r="B161" t="s">
        <v>28</v>
      </c>
      <c r="C161" t="s">
        <v>10</v>
      </c>
      <c r="D161" t="s">
        <v>34</v>
      </c>
      <c r="E161">
        <v>119</v>
      </c>
      <c r="F161" s="6">
        <v>10000</v>
      </c>
      <c r="G161" s="6">
        <v>7000</v>
      </c>
      <c r="H161" s="6">
        <v>1190000</v>
      </c>
      <c r="I161" s="5">
        <f t="shared" si="2"/>
        <v>357000</v>
      </c>
    </row>
    <row r="162" spans="1:9" x14ac:dyDescent="0.3">
      <c r="A162" t="s">
        <v>174</v>
      </c>
      <c r="B162" t="s">
        <v>20</v>
      </c>
      <c r="C162" t="s">
        <v>14</v>
      </c>
      <c r="D162" t="s">
        <v>34</v>
      </c>
      <c r="E162">
        <v>148</v>
      </c>
      <c r="F162" s="6">
        <v>10000</v>
      </c>
      <c r="G162" s="6">
        <v>7000</v>
      </c>
      <c r="H162" s="6">
        <v>1480000</v>
      </c>
      <c r="I162" s="5">
        <f t="shared" si="2"/>
        <v>444000</v>
      </c>
    </row>
    <row r="163" spans="1:9" x14ac:dyDescent="0.3">
      <c r="A163" t="s">
        <v>175</v>
      </c>
      <c r="B163" t="s">
        <v>20</v>
      </c>
      <c r="C163" t="s">
        <v>26</v>
      </c>
      <c r="D163" t="s">
        <v>24</v>
      </c>
      <c r="E163">
        <v>51</v>
      </c>
      <c r="F163" s="6">
        <v>1200</v>
      </c>
      <c r="G163" s="6">
        <v>800</v>
      </c>
      <c r="H163" s="6">
        <v>61200</v>
      </c>
      <c r="I163" s="5">
        <f t="shared" si="2"/>
        <v>20400</v>
      </c>
    </row>
    <row r="164" spans="1:9" x14ac:dyDescent="0.3">
      <c r="A164" t="s">
        <v>176</v>
      </c>
      <c r="B164" t="s">
        <v>20</v>
      </c>
      <c r="C164" t="s">
        <v>10</v>
      </c>
      <c r="D164" t="s">
        <v>18</v>
      </c>
      <c r="E164">
        <v>72</v>
      </c>
      <c r="F164" s="6">
        <v>6000</v>
      </c>
      <c r="G164" s="6">
        <v>4000</v>
      </c>
      <c r="H164" s="6">
        <v>432000</v>
      </c>
      <c r="I164" s="5">
        <f t="shared" si="2"/>
        <v>144000</v>
      </c>
    </row>
    <row r="165" spans="1:9" x14ac:dyDescent="0.3">
      <c r="A165" t="s">
        <v>177</v>
      </c>
      <c r="B165" t="s">
        <v>23</v>
      </c>
      <c r="C165" t="s">
        <v>26</v>
      </c>
      <c r="D165" t="s">
        <v>34</v>
      </c>
      <c r="E165">
        <v>145</v>
      </c>
      <c r="F165" s="6">
        <v>10000</v>
      </c>
      <c r="G165" s="6">
        <v>7000</v>
      </c>
      <c r="H165" s="6">
        <v>1450000</v>
      </c>
      <c r="I165" s="5">
        <f t="shared" si="2"/>
        <v>435000</v>
      </c>
    </row>
    <row r="166" spans="1:9" x14ac:dyDescent="0.3">
      <c r="A166" t="s">
        <v>178</v>
      </c>
      <c r="B166" t="s">
        <v>13</v>
      </c>
      <c r="C166" t="s">
        <v>26</v>
      </c>
      <c r="D166" t="s">
        <v>18</v>
      </c>
      <c r="E166">
        <v>129</v>
      </c>
      <c r="F166" s="6">
        <v>6000</v>
      </c>
      <c r="G166" s="6">
        <v>4000</v>
      </c>
      <c r="H166" s="6">
        <v>774000</v>
      </c>
      <c r="I166" s="5">
        <f t="shared" si="2"/>
        <v>258000</v>
      </c>
    </row>
    <row r="167" spans="1:9" x14ac:dyDescent="0.3">
      <c r="A167" t="s">
        <v>155</v>
      </c>
      <c r="B167" t="s">
        <v>9</v>
      </c>
      <c r="C167" t="s">
        <v>10</v>
      </c>
      <c r="D167" t="s">
        <v>18</v>
      </c>
      <c r="E167">
        <v>78</v>
      </c>
      <c r="F167" s="6">
        <v>6000</v>
      </c>
      <c r="G167" s="6">
        <v>4000</v>
      </c>
      <c r="H167" s="6">
        <v>468000</v>
      </c>
      <c r="I167" s="5">
        <f t="shared" si="2"/>
        <v>156000</v>
      </c>
    </row>
    <row r="168" spans="1:9" x14ac:dyDescent="0.3">
      <c r="A168" t="s">
        <v>179</v>
      </c>
      <c r="B168" t="s">
        <v>20</v>
      </c>
      <c r="C168" t="s">
        <v>26</v>
      </c>
      <c r="D168" t="s">
        <v>18</v>
      </c>
      <c r="E168">
        <v>57</v>
      </c>
      <c r="F168" s="6">
        <v>6000</v>
      </c>
      <c r="G168" s="6">
        <v>4000</v>
      </c>
      <c r="H168" s="6">
        <v>342000</v>
      </c>
      <c r="I168" s="5">
        <f t="shared" si="2"/>
        <v>114000</v>
      </c>
    </row>
    <row r="169" spans="1:9" x14ac:dyDescent="0.3">
      <c r="A169" t="s">
        <v>180</v>
      </c>
      <c r="B169" t="s">
        <v>13</v>
      </c>
      <c r="C169" t="s">
        <v>17</v>
      </c>
      <c r="D169" t="s">
        <v>11</v>
      </c>
      <c r="E169">
        <v>104</v>
      </c>
      <c r="F169" s="6">
        <v>3500</v>
      </c>
      <c r="G169" s="6">
        <v>2500</v>
      </c>
      <c r="H169" s="6">
        <v>364000</v>
      </c>
      <c r="I169" s="5">
        <f t="shared" si="2"/>
        <v>104000</v>
      </c>
    </row>
    <row r="170" spans="1:9" x14ac:dyDescent="0.3">
      <c r="A170" t="s">
        <v>151</v>
      </c>
      <c r="B170" t="s">
        <v>9</v>
      </c>
      <c r="C170" t="s">
        <v>14</v>
      </c>
      <c r="D170" t="s">
        <v>21</v>
      </c>
      <c r="E170">
        <v>107</v>
      </c>
      <c r="F170" s="6">
        <v>600</v>
      </c>
      <c r="G170" s="6">
        <v>400</v>
      </c>
      <c r="H170" s="6">
        <v>64200</v>
      </c>
      <c r="I170" s="5">
        <f t="shared" si="2"/>
        <v>21400</v>
      </c>
    </row>
    <row r="171" spans="1:9" x14ac:dyDescent="0.3">
      <c r="A171" t="s">
        <v>181</v>
      </c>
      <c r="B171" t="s">
        <v>13</v>
      </c>
      <c r="C171" t="s">
        <v>14</v>
      </c>
      <c r="D171" t="s">
        <v>15</v>
      </c>
      <c r="E171">
        <v>135</v>
      </c>
      <c r="F171" s="6">
        <v>4000</v>
      </c>
      <c r="G171" s="6">
        <v>3000</v>
      </c>
      <c r="H171" s="6">
        <v>540000</v>
      </c>
      <c r="I171" s="5">
        <f t="shared" si="2"/>
        <v>135000</v>
      </c>
    </row>
    <row r="172" spans="1:9" x14ac:dyDescent="0.3">
      <c r="A172" t="s">
        <v>130</v>
      </c>
      <c r="B172" t="s">
        <v>40</v>
      </c>
      <c r="C172" t="s">
        <v>14</v>
      </c>
      <c r="D172" t="s">
        <v>24</v>
      </c>
      <c r="E172">
        <v>86</v>
      </c>
      <c r="F172" s="6">
        <v>1200</v>
      </c>
      <c r="G172" s="6">
        <v>800</v>
      </c>
      <c r="H172" s="6">
        <v>103200</v>
      </c>
      <c r="I172" s="5">
        <f t="shared" si="2"/>
        <v>34400</v>
      </c>
    </row>
    <row r="173" spans="1:9" x14ac:dyDescent="0.3">
      <c r="A173" t="s">
        <v>182</v>
      </c>
      <c r="B173" t="s">
        <v>30</v>
      </c>
      <c r="C173" t="s">
        <v>14</v>
      </c>
      <c r="D173" t="s">
        <v>34</v>
      </c>
      <c r="E173">
        <v>138</v>
      </c>
      <c r="F173" s="6">
        <v>10000</v>
      </c>
      <c r="G173" s="6">
        <v>7000</v>
      </c>
      <c r="H173" s="6">
        <v>1380000</v>
      </c>
      <c r="I173" s="5">
        <f t="shared" si="2"/>
        <v>414000</v>
      </c>
    </row>
    <row r="174" spans="1:9" x14ac:dyDescent="0.3">
      <c r="A174" t="s">
        <v>183</v>
      </c>
      <c r="B174" t="s">
        <v>13</v>
      </c>
      <c r="C174" t="s">
        <v>26</v>
      </c>
      <c r="D174" t="s">
        <v>18</v>
      </c>
      <c r="E174">
        <v>149</v>
      </c>
      <c r="F174" s="6">
        <v>6000</v>
      </c>
      <c r="G174" s="6">
        <v>4000</v>
      </c>
      <c r="H174" s="6">
        <v>894000</v>
      </c>
      <c r="I174" s="5">
        <f t="shared" si="2"/>
        <v>298000</v>
      </c>
    </row>
    <row r="175" spans="1:9" x14ac:dyDescent="0.3">
      <c r="A175" t="s">
        <v>184</v>
      </c>
      <c r="B175" t="s">
        <v>13</v>
      </c>
      <c r="C175" t="s">
        <v>14</v>
      </c>
      <c r="D175" t="s">
        <v>11</v>
      </c>
      <c r="E175">
        <v>57</v>
      </c>
      <c r="F175" s="6">
        <v>3500</v>
      </c>
      <c r="G175" s="6">
        <v>2500</v>
      </c>
      <c r="H175" s="6">
        <v>199500</v>
      </c>
      <c r="I175" s="5">
        <f t="shared" si="2"/>
        <v>57000</v>
      </c>
    </row>
    <row r="176" spans="1:9" x14ac:dyDescent="0.3">
      <c r="A176" t="s">
        <v>185</v>
      </c>
      <c r="B176" t="s">
        <v>30</v>
      </c>
      <c r="C176" t="s">
        <v>17</v>
      </c>
      <c r="D176" t="s">
        <v>18</v>
      </c>
      <c r="E176">
        <v>105</v>
      </c>
      <c r="F176" s="6">
        <v>6000</v>
      </c>
      <c r="G176" s="6">
        <v>4000</v>
      </c>
      <c r="H176" s="6">
        <v>630000</v>
      </c>
      <c r="I176" s="5">
        <f t="shared" si="2"/>
        <v>210000</v>
      </c>
    </row>
    <row r="177" spans="1:9" x14ac:dyDescent="0.3">
      <c r="A177" t="s">
        <v>186</v>
      </c>
      <c r="B177" t="s">
        <v>58</v>
      </c>
      <c r="C177" t="s">
        <v>14</v>
      </c>
      <c r="D177" t="s">
        <v>24</v>
      </c>
      <c r="E177">
        <v>61</v>
      </c>
      <c r="F177" s="6">
        <v>1200</v>
      </c>
      <c r="G177" s="6">
        <v>800</v>
      </c>
      <c r="H177" s="6">
        <v>73200</v>
      </c>
      <c r="I177" s="5">
        <f t="shared" si="2"/>
        <v>24400</v>
      </c>
    </row>
    <row r="178" spans="1:9" x14ac:dyDescent="0.3">
      <c r="A178" t="s">
        <v>187</v>
      </c>
      <c r="B178" t="s">
        <v>58</v>
      </c>
      <c r="C178" t="s">
        <v>10</v>
      </c>
      <c r="D178" t="s">
        <v>15</v>
      </c>
      <c r="E178">
        <v>61</v>
      </c>
      <c r="F178" s="6">
        <v>4000</v>
      </c>
      <c r="G178" s="6">
        <v>3000</v>
      </c>
      <c r="H178" s="6">
        <v>244000</v>
      </c>
      <c r="I178" s="5">
        <f t="shared" si="2"/>
        <v>61000</v>
      </c>
    </row>
    <row r="179" spans="1:9" x14ac:dyDescent="0.3">
      <c r="A179" t="s">
        <v>188</v>
      </c>
      <c r="B179" t="s">
        <v>20</v>
      </c>
      <c r="C179" t="s">
        <v>26</v>
      </c>
      <c r="D179" t="s">
        <v>11</v>
      </c>
      <c r="E179">
        <v>69</v>
      </c>
      <c r="F179" s="6">
        <v>3500</v>
      </c>
      <c r="G179" s="6">
        <v>2500</v>
      </c>
      <c r="H179" s="6">
        <v>241500</v>
      </c>
      <c r="I179" s="5">
        <f t="shared" si="2"/>
        <v>69000</v>
      </c>
    </row>
    <row r="180" spans="1:9" x14ac:dyDescent="0.3">
      <c r="A180" t="s">
        <v>189</v>
      </c>
      <c r="B180" t="s">
        <v>43</v>
      </c>
      <c r="C180" t="s">
        <v>14</v>
      </c>
      <c r="D180" t="s">
        <v>24</v>
      </c>
      <c r="E180">
        <v>135</v>
      </c>
      <c r="F180" s="6">
        <v>1200</v>
      </c>
      <c r="G180" s="6">
        <v>800</v>
      </c>
      <c r="H180" s="6">
        <v>162000</v>
      </c>
      <c r="I180" s="5">
        <f t="shared" si="2"/>
        <v>54000</v>
      </c>
    </row>
    <row r="181" spans="1:9" x14ac:dyDescent="0.3">
      <c r="A181" t="s">
        <v>190</v>
      </c>
      <c r="B181" t="s">
        <v>13</v>
      </c>
      <c r="C181" t="s">
        <v>14</v>
      </c>
      <c r="D181" t="s">
        <v>18</v>
      </c>
      <c r="E181">
        <v>69</v>
      </c>
      <c r="F181" s="6">
        <v>6000</v>
      </c>
      <c r="G181" s="6">
        <v>4000</v>
      </c>
      <c r="H181" s="6">
        <v>414000</v>
      </c>
      <c r="I181" s="5">
        <f t="shared" si="2"/>
        <v>138000</v>
      </c>
    </row>
    <row r="182" spans="1:9" x14ac:dyDescent="0.3">
      <c r="A182" t="s">
        <v>191</v>
      </c>
      <c r="B182" t="s">
        <v>58</v>
      </c>
      <c r="C182" t="s">
        <v>14</v>
      </c>
      <c r="D182" t="s">
        <v>21</v>
      </c>
      <c r="E182">
        <v>104</v>
      </c>
      <c r="F182" s="6">
        <v>600</v>
      </c>
      <c r="G182" s="6">
        <v>400</v>
      </c>
      <c r="H182" s="6">
        <v>62400</v>
      </c>
      <c r="I182" s="5">
        <f t="shared" si="2"/>
        <v>20800</v>
      </c>
    </row>
    <row r="183" spans="1:9" x14ac:dyDescent="0.3">
      <c r="A183" t="s">
        <v>192</v>
      </c>
      <c r="B183" t="s">
        <v>13</v>
      </c>
      <c r="C183" t="s">
        <v>14</v>
      </c>
      <c r="D183" t="s">
        <v>11</v>
      </c>
      <c r="E183">
        <v>136</v>
      </c>
      <c r="F183" s="6">
        <v>3500</v>
      </c>
      <c r="G183" s="6">
        <v>2500</v>
      </c>
      <c r="H183" s="6">
        <v>476000</v>
      </c>
      <c r="I183" s="5">
        <f t="shared" si="2"/>
        <v>136000</v>
      </c>
    </row>
    <row r="184" spans="1:9" x14ac:dyDescent="0.3">
      <c r="A184" t="s">
        <v>193</v>
      </c>
      <c r="B184" t="s">
        <v>13</v>
      </c>
      <c r="C184" t="s">
        <v>17</v>
      </c>
      <c r="D184" t="s">
        <v>15</v>
      </c>
      <c r="E184">
        <v>68</v>
      </c>
      <c r="F184" s="6">
        <v>4000</v>
      </c>
      <c r="G184" s="6">
        <v>3000</v>
      </c>
      <c r="H184" s="6">
        <v>272000</v>
      </c>
      <c r="I184" s="5">
        <f t="shared" si="2"/>
        <v>68000</v>
      </c>
    </row>
    <row r="185" spans="1:9" x14ac:dyDescent="0.3">
      <c r="A185" t="s">
        <v>194</v>
      </c>
      <c r="B185" t="s">
        <v>20</v>
      </c>
      <c r="C185" t="s">
        <v>26</v>
      </c>
      <c r="D185" t="s">
        <v>21</v>
      </c>
      <c r="E185">
        <v>145</v>
      </c>
      <c r="F185" s="6">
        <v>600</v>
      </c>
      <c r="G185" s="6">
        <v>400</v>
      </c>
      <c r="H185" s="6">
        <v>87000</v>
      </c>
      <c r="I185" s="5">
        <f t="shared" si="2"/>
        <v>29000</v>
      </c>
    </row>
    <row r="186" spans="1:9" x14ac:dyDescent="0.3">
      <c r="A186" t="s">
        <v>195</v>
      </c>
      <c r="B186" t="s">
        <v>13</v>
      </c>
      <c r="C186" t="s">
        <v>26</v>
      </c>
      <c r="D186" t="s">
        <v>11</v>
      </c>
      <c r="E186">
        <v>124</v>
      </c>
      <c r="F186" s="6">
        <v>3500</v>
      </c>
      <c r="G186" s="6">
        <v>2500</v>
      </c>
      <c r="H186" s="6">
        <v>434000</v>
      </c>
      <c r="I186" s="5">
        <f t="shared" si="2"/>
        <v>124000</v>
      </c>
    </row>
    <row r="187" spans="1:9" x14ac:dyDescent="0.3">
      <c r="A187" t="s">
        <v>196</v>
      </c>
      <c r="B187" t="s">
        <v>43</v>
      </c>
      <c r="C187" t="s">
        <v>10</v>
      </c>
      <c r="D187" t="s">
        <v>31</v>
      </c>
      <c r="E187">
        <v>58</v>
      </c>
      <c r="F187" s="6">
        <v>1000</v>
      </c>
      <c r="G187" s="6">
        <v>700</v>
      </c>
      <c r="H187" s="6">
        <v>58000</v>
      </c>
      <c r="I187" s="5">
        <f t="shared" si="2"/>
        <v>17400</v>
      </c>
    </row>
    <row r="188" spans="1:9" x14ac:dyDescent="0.3">
      <c r="A188" t="s">
        <v>197</v>
      </c>
      <c r="B188" t="s">
        <v>40</v>
      </c>
      <c r="C188" t="s">
        <v>10</v>
      </c>
      <c r="D188" t="s">
        <v>21</v>
      </c>
      <c r="E188">
        <v>69</v>
      </c>
      <c r="F188" s="6">
        <v>600</v>
      </c>
      <c r="G188" s="6">
        <v>400</v>
      </c>
      <c r="H188" s="6">
        <v>41400</v>
      </c>
      <c r="I188" s="5">
        <f t="shared" si="2"/>
        <v>13800</v>
      </c>
    </row>
    <row r="189" spans="1:9" x14ac:dyDescent="0.3">
      <c r="A189" t="s">
        <v>66</v>
      </c>
      <c r="B189" t="s">
        <v>23</v>
      </c>
      <c r="C189" t="s">
        <v>14</v>
      </c>
      <c r="D189" t="s">
        <v>24</v>
      </c>
      <c r="E189">
        <v>102</v>
      </c>
      <c r="F189" s="6">
        <v>1200</v>
      </c>
      <c r="G189" s="6">
        <v>800</v>
      </c>
      <c r="H189" s="6">
        <v>122400</v>
      </c>
      <c r="I189" s="5">
        <f t="shared" si="2"/>
        <v>40800</v>
      </c>
    </row>
    <row r="190" spans="1:9" x14ac:dyDescent="0.3">
      <c r="A190" t="s">
        <v>198</v>
      </c>
      <c r="B190" t="s">
        <v>13</v>
      </c>
      <c r="C190" t="s">
        <v>14</v>
      </c>
      <c r="D190" t="s">
        <v>31</v>
      </c>
      <c r="E190">
        <v>148</v>
      </c>
      <c r="F190" s="6">
        <v>1000</v>
      </c>
      <c r="G190" s="6">
        <v>700</v>
      </c>
      <c r="H190" s="6">
        <v>148000</v>
      </c>
      <c r="I190" s="5">
        <f t="shared" si="2"/>
        <v>44400</v>
      </c>
    </row>
    <row r="191" spans="1:9" x14ac:dyDescent="0.3">
      <c r="A191" t="s">
        <v>199</v>
      </c>
      <c r="B191" t="s">
        <v>20</v>
      </c>
      <c r="C191" t="s">
        <v>17</v>
      </c>
      <c r="D191" t="s">
        <v>24</v>
      </c>
      <c r="E191">
        <v>94</v>
      </c>
      <c r="F191" s="6">
        <v>1200</v>
      </c>
      <c r="G191" s="6">
        <v>800</v>
      </c>
      <c r="H191" s="6">
        <v>112800</v>
      </c>
      <c r="I191" s="5">
        <f t="shared" si="2"/>
        <v>37600</v>
      </c>
    </row>
    <row r="192" spans="1:9" x14ac:dyDescent="0.3">
      <c r="A192" t="s">
        <v>200</v>
      </c>
      <c r="B192" t="s">
        <v>30</v>
      </c>
      <c r="C192" t="s">
        <v>17</v>
      </c>
      <c r="D192" t="s">
        <v>34</v>
      </c>
      <c r="E192">
        <v>73</v>
      </c>
      <c r="F192" s="6">
        <v>10000</v>
      </c>
      <c r="G192" s="6">
        <v>7000</v>
      </c>
      <c r="H192" s="6">
        <v>730000</v>
      </c>
      <c r="I192" s="5">
        <f t="shared" si="2"/>
        <v>219000</v>
      </c>
    </row>
    <row r="193" spans="1:9" x14ac:dyDescent="0.3">
      <c r="A193" t="s">
        <v>201</v>
      </c>
      <c r="B193" t="s">
        <v>9</v>
      </c>
      <c r="C193" t="s">
        <v>26</v>
      </c>
      <c r="D193" t="s">
        <v>18</v>
      </c>
      <c r="E193">
        <v>148</v>
      </c>
      <c r="F193" s="6">
        <v>6000</v>
      </c>
      <c r="G193" s="6">
        <v>4000</v>
      </c>
      <c r="H193" s="6">
        <v>888000</v>
      </c>
      <c r="I193" s="5">
        <f t="shared" si="2"/>
        <v>296000</v>
      </c>
    </row>
    <row r="194" spans="1:9" x14ac:dyDescent="0.3">
      <c r="A194" t="s">
        <v>202</v>
      </c>
      <c r="B194" t="s">
        <v>23</v>
      </c>
      <c r="C194" t="s">
        <v>17</v>
      </c>
      <c r="D194" t="s">
        <v>31</v>
      </c>
      <c r="E194">
        <v>112</v>
      </c>
      <c r="F194" s="6">
        <v>1000</v>
      </c>
      <c r="G194" s="6">
        <v>700</v>
      </c>
      <c r="H194" s="6">
        <v>112000</v>
      </c>
      <c r="I194" s="5">
        <f t="shared" ref="I194:I257" si="3">H194-(G194*E194)</f>
        <v>33600</v>
      </c>
    </row>
    <row r="195" spans="1:9" x14ac:dyDescent="0.3">
      <c r="A195" t="s">
        <v>203</v>
      </c>
      <c r="B195" t="s">
        <v>13</v>
      </c>
      <c r="C195" t="s">
        <v>26</v>
      </c>
      <c r="D195" t="s">
        <v>24</v>
      </c>
      <c r="E195">
        <v>124</v>
      </c>
      <c r="F195" s="6">
        <v>1200</v>
      </c>
      <c r="G195" s="6">
        <v>800</v>
      </c>
      <c r="H195" s="6">
        <v>148800</v>
      </c>
      <c r="I195" s="5">
        <f t="shared" si="3"/>
        <v>49600</v>
      </c>
    </row>
    <row r="196" spans="1:9" x14ac:dyDescent="0.3">
      <c r="A196" t="s">
        <v>204</v>
      </c>
      <c r="B196" t="s">
        <v>20</v>
      </c>
      <c r="C196" t="s">
        <v>17</v>
      </c>
      <c r="D196" t="s">
        <v>21</v>
      </c>
      <c r="E196">
        <v>130</v>
      </c>
      <c r="F196" s="6">
        <v>600</v>
      </c>
      <c r="G196" s="6">
        <v>400</v>
      </c>
      <c r="H196" s="6">
        <v>78000</v>
      </c>
      <c r="I196" s="5">
        <f t="shared" si="3"/>
        <v>26000</v>
      </c>
    </row>
    <row r="197" spans="1:9" x14ac:dyDescent="0.3">
      <c r="A197" t="s">
        <v>205</v>
      </c>
      <c r="B197" t="s">
        <v>30</v>
      </c>
      <c r="C197" t="s">
        <v>14</v>
      </c>
      <c r="D197" t="s">
        <v>15</v>
      </c>
      <c r="E197">
        <v>91</v>
      </c>
      <c r="F197" s="6">
        <v>4000</v>
      </c>
      <c r="G197" s="6">
        <v>3000</v>
      </c>
      <c r="H197" s="6">
        <v>364000</v>
      </c>
      <c r="I197" s="5">
        <f t="shared" si="3"/>
        <v>91000</v>
      </c>
    </row>
    <row r="198" spans="1:9" x14ac:dyDescent="0.3">
      <c r="A198" t="s">
        <v>16</v>
      </c>
      <c r="B198" t="s">
        <v>20</v>
      </c>
      <c r="C198" t="s">
        <v>14</v>
      </c>
      <c r="D198" t="s">
        <v>18</v>
      </c>
      <c r="E198">
        <v>85</v>
      </c>
      <c r="F198" s="6">
        <v>6000</v>
      </c>
      <c r="G198" s="6">
        <v>4000</v>
      </c>
      <c r="H198" s="6">
        <v>510000</v>
      </c>
      <c r="I198" s="5">
        <f t="shared" si="3"/>
        <v>170000</v>
      </c>
    </row>
    <row r="199" spans="1:9" x14ac:dyDescent="0.3">
      <c r="A199" t="s">
        <v>206</v>
      </c>
      <c r="B199" t="s">
        <v>28</v>
      </c>
      <c r="C199" t="s">
        <v>17</v>
      </c>
      <c r="D199" t="s">
        <v>34</v>
      </c>
      <c r="E199">
        <v>107</v>
      </c>
      <c r="F199" s="6">
        <v>10000</v>
      </c>
      <c r="G199" s="6">
        <v>7000</v>
      </c>
      <c r="H199" s="6">
        <v>1070000</v>
      </c>
      <c r="I199" s="5">
        <f t="shared" si="3"/>
        <v>321000</v>
      </c>
    </row>
    <row r="200" spans="1:9" x14ac:dyDescent="0.3">
      <c r="A200" t="s">
        <v>207</v>
      </c>
      <c r="B200" t="s">
        <v>28</v>
      </c>
      <c r="C200" t="s">
        <v>14</v>
      </c>
      <c r="D200" t="s">
        <v>31</v>
      </c>
      <c r="E200">
        <v>71</v>
      </c>
      <c r="F200" s="6">
        <v>1000</v>
      </c>
      <c r="G200" s="6">
        <v>700</v>
      </c>
      <c r="H200" s="6">
        <v>71000</v>
      </c>
      <c r="I200" s="5">
        <f t="shared" si="3"/>
        <v>21300</v>
      </c>
    </row>
    <row r="201" spans="1:9" x14ac:dyDescent="0.3">
      <c r="A201" t="s">
        <v>208</v>
      </c>
      <c r="B201" t="s">
        <v>13</v>
      </c>
      <c r="C201" t="s">
        <v>17</v>
      </c>
      <c r="D201" t="s">
        <v>34</v>
      </c>
      <c r="E201">
        <v>135</v>
      </c>
      <c r="F201" s="6">
        <v>10000</v>
      </c>
      <c r="G201" s="6">
        <v>7000</v>
      </c>
      <c r="H201" s="6">
        <v>1350000</v>
      </c>
      <c r="I201" s="5">
        <f t="shared" si="3"/>
        <v>405000</v>
      </c>
    </row>
    <row r="202" spans="1:9" x14ac:dyDescent="0.3">
      <c r="A202" t="s">
        <v>209</v>
      </c>
      <c r="B202" t="s">
        <v>36</v>
      </c>
      <c r="C202" t="s">
        <v>14</v>
      </c>
      <c r="D202" t="s">
        <v>11</v>
      </c>
      <c r="E202">
        <v>130</v>
      </c>
      <c r="F202" s="6">
        <v>3500</v>
      </c>
      <c r="G202" s="6">
        <v>2500</v>
      </c>
      <c r="H202" s="6">
        <v>455000</v>
      </c>
      <c r="I202" s="5">
        <f t="shared" si="3"/>
        <v>130000</v>
      </c>
    </row>
    <row r="203" spans="1:9" x14ac:dyDescent="0.3">
      <c r="A203" t="s">
        <v>210</v>
      </c>
      <c r="B203" t="s">
        <v>30</v>
      </c>
      <c r="C203" t="s">
        <v>17</v>
      </c>
      <c r="D203" t="s">
        <v>21</v>
      </c>
      <c r="E203">
        <v>147</v>
      </c>
      <c r="F203" s="6">
        <v>600</v>
      </c>
      <c r="G203" s="6">
        <v>400</v>
      </c>
      <c r="H203" s="6">
        <v>88200</v>
      </c>
      <c r="I203" s="5">
        <f t="shared" si="3"/>
        <v>29400</v>
      </c>
    </row>
    <row r="204" spans="1:9" x14ac:dyDescent="0.3">
      <c r="A204" t="s">
        <v>211</v>
      </c>
      <c r="B204" t="s">
        <v>13</v>
      </c>
      <c r="C204" t="s">
        <v>17</v>
      </c>
      <c r="D204" t="s">
        <v>24</v>
      </c>
      <c r="E204">
        <v>133</v>
      </c>
      <c r="F204" s="6">
        <v>1200</v>
      </c>
      <c r="G204" s="6">
        <v>800</v>
      </c>
      <c r="H204" s="6">
        <v>159600</v>
      </c>
      <c r="I204" s="5">
        <f t="shared" si="3"/>
        <v>53200</v>
      </c>
    </row>
    <row r="205" spans="1:9" x14ac:dyDescent="0.3">
      <c r="A205" t="s">
        <v>212</v>
      </c>
      <c r="B205" t="s">
        <v>40</v>
      </c>
      <c r="C205" t="s">
        <v>26</v>
      </c>
      <c r="D205" t="s">
        <v>18</v>
      </c>
      <c r="E205">
        <v>136</v>
      </c>
      <c r="F205" s="6">
        <v>6000</v>
      </c>
      <c r="G205" s="6">
        <v>4000</v>
      </c>
      <c r="H205" s="6">
        <v>816000</v>
      </c>
      <c r="I205" s="5">
        <f t="shared" si="3"/>
        <v>272000</v>
      </c>
    </row>
    <row r="206" spans="1:9" x14ac:dyDescent="0.3">
      <c r="A206" t="s">
        <v>213</v>
      </c>
      <c r="B206" t="s">
        <v>40</v>
      </c>
      <c r="C206" t="s">
        <v>10</v>
      </c>
      <c r="D206" t="s">
        <v>18</v>
      </c>
      <c r="E206">
        <v>66</v>
      </c>
      <c r="F206" s="6">
        <v>6000</v>
      </c>
      <c r="G206" s="6">
        <v>4000</v>
      </c>
      <c r="H206" s="6">
        <v>396000</v>
      </c>
      <c r="I206" s="5">
        <f t="shared" si="3"/>
        <v>132000</v>
      </c>
    </row>
    <row r="207" spans="1:9" x14ac:dyDescent="0.3">
      <c r="A207" t="s">
        <v>214</v>
      </c>
      <c r="B207" t="s">
        <v>30</v>
      </c>
      <c r="C207" t="s">
        <v>17</v>
      </c>
      <c r="D207" t="s">
        <v>11</v>
      </c>
      <c r="E207">
        <v>66</v>
      </c>
      <c r="F207" s="6">
        <v>3500</v>
      </c>
      <c r="G207" s="6">
        <v>2500</v>
      </c>
      <c r="H207" s="6">
        <v>231000</v>
      </c>
      <c r="I207" s="5">
        <f t="shared" si="3"/>
        <v>66000</v>
      </c>
    </row>
    <row r="208" spans="1:9" x14ac:dyDescent="0.3">
      <c r="A208" t="s">
        <v>215</v>
      </c>
      <c r="B208" t="s">
        <v>28</v>
      </c>
      <c r="C208" t="s">
        <v>14</v>
      </c>
      <c r="D208" t="s">
        <v>34</v>
      </c>
      <c r="E208">
        <v>108</v>
      </c>
      <c r="F208" s="6">
        <v>10000</v>
      </c>
      <c r="G208" s="6">
        <v>7000</v>
      </c>
      <c r="H208" s="6">
        <v>1080000</v>
      </c>
      <c r="I208" s="5">
        <f t="shared" si="3"/>
        <v>324000</v>
      </c>
    </row>
    <row r="209" spans="1:9" x14ac:dyDescent="0.3">
      <c r="A209" t="s">
        <v>51</v>
      </c>
      <c r="B209" t="s">
        <v>36</v>
      </c>
      <c r="C209" t="s">
        <v>17</v>
      </c>
      <c r="D209" t="s">
        <v>31</v>
      </c>
      <c r="E209">
        <v>126</v>
      </c>
      <c r="F209" s="6">
        <v>1000</v>
      </c>
      <c r="G209" s="6">
        <v>700</v>
      </c>
      <c r="H209" s="6">
        <v>126000</v>
      </c>
      <c r="I209" s="5">
        <f t="shared" si="3"/>
        <v>37800</v>
      </c>
    </row>
    <row r="210" spans="1:9" x14ac:dyDescent="0.3">
      <c r="A210" t="s">
        <v>216</v>
      </c>
      <c r="B210" t="s">
        <v>36</v>
      </c>
      <c r="C210" t="s">
        <v>10</v>
      </c>
      <c r="D210" t="s">
        <v>18</v>
      </c>
      <c r="E210">
        <v>100</v>
      </c>
      <c r="F210" s="6">
        <v>6000</v>
      </c>
      <c r="G210" s="6">
        <v>4000</v>
      </c>
      <c r="H210" s="6">
        <v>600000</v>
      </c>
      <c r="I210" s="5">
        <f t="shared" si="3"/>
        <v>200000</v>
      </c>
    </row>
    <row r="211" spans="1:9" x14ac:dyDescent="0.3">
      <c r="A211" t="s">
        <v>217</v>
      </c>
      <c r="B211" t="s">
        <v>23</v>
      </c>
      <c r="C211" t="s">
        <v>26</v>
      </c>
      <c r="D211" t="s">
        <v>24</v>
      </c>
      <c r="E211">
        <v>91</v>
      </c>
      <c r="F211" s="6">
        <v>1200</v>
      </c>
      <c r="G211" s="6">
        <v>800</v>
      </c>
      <c r="H211" s="6">
        <v>109200</v>
      </c>
      <c r="I211" s="5">
        <f t="shared" si="3"/>
        <v>36400</v>
      </c>
    </row>
    <row r="212" spans="1:9" x14ac:dyDescent="0.3">
      <c r="A212" t="s">
        <v>218</v>
      </c>
      <c r="B212" t="s">
        <v>23</v>
      </c>
      <c r="C212" t="s">
        <v>17</v>
      </c>
      <c r="D212" t="s">
        <v>24</v>
      </c>
      <c r="E212">
        <v>80</v>
      </c>
      <c r="F212" s="6">
        <v>1200</v>
      </c>
      <c r="G212" s="6">
        <v>800</v>
      </c>
      <c r="H212" s="6">
        <v>96000</v>
      </c>
      <c r="I212" s="5">
        <f t="shared" si="3"/>
        <v>32000</v>
      </c>
    </row>
    <row r="213" spans="1:9" x14ac:dyDescent="0.3">
      <c r="A213" t="s">
        <v>219</v>
      </c>
      <c r="B213" t="s">
        <v>23</v>
      </c>
      <c r="C213" t="s">
        <v>17</v>
      </c>
      <c r="D213" t="s">
        <v>31</v>
      </c>
      <c r="E213">
        <v>148</v>
      </c>
      <c r="F213" s="6">
        <v>1000</v>
      </c>
      <c r="G213" s="6">
        <v>700</v>
      </c>
      <c r="H213" s="6">
        <v>148000</v>
      </c>
      <c r="I213" s="5">
        <f t="shared" si="3"/>
        <v>44400</v>
      </c>
    </row>
    <row r="214" spans="1:9" x14ac:dyDescent="0.3">
      <c r="A214" t="s">
        <v>220</v>
      </c>
      <c r="B214" t="s">
        <v>23</v>
      </c>
      <c r="C214" t="s">
        <v>14</v>
      </c>
      <c r="D214" t="s">
        <v>11</v>
      </c>
      <c r="E214">
        <v>57</v>
      </c>
      <c r="F214" s="6">
        <v>3500</v>
      </c>
      <c r="G214" s="6">
        <v>2500</v>
      </c>
      <c r="H214" s="6">
        <v>199500</v>
      </c>
      <c r="I214" s="5">
        <f t="shared" si="3"/>
        <v>57000</v>
      </c>
    </row>
    <row r="215" spans="1:9" x14ac:dyDescent="0.3">
      <c r="A215" t="s">
        <v>221</v>
      </c>
      <c r="B215" t="s">
        <v>58</v>
      </c>
      <c r="C215" t="s">
        <v>14</v>
      </c>
      <c r="D215" t="s">
        <v>34</v>
      </c>
      <c r="E215">
        <v>90</v>
      </c>
      <c r="F215" s="6">
        <v>10000</v>
      </c>
      <c r="G215" s="6">
        <v>7000</v>
      </c>
      <c r="H215" s="6">
        <v>900000</v>
      </c>
      <c r="I215" s="5">
        <f t="shared" si="3"/>
        <v>270000</v>
      </c>
    </row>
    <row r="216" spans="1:9" x14ac:dyDescent="0.3">
      <c r="A216" t="s">
        <v>222</v>
      </c>
      <c r="B216" t="s">
        <v>30</v>
      </c>
      <c r="C216" t="s">
        <v>14</v>
      </c>
      <c r="D216" t="s">
        <v>34</v>
      </c>
      <c r="E216">
        <v>80</v>
      </c>
      <c r="F216" s="6">
        <v>10000</v>
      </c>
      <c r="G216" s="6">
        <v>7000</v>
      </c>
      <c r="H216" s="6">
        <v>800000</v>
      </c>
      <c r="I216" s="5">
        <f t="shared" si="3"/>
        <v>240000</v>
      </c>
    </row>
    <row r="217" spans="1:9" x14ac:dyDescent="0.3">
      <c r="A217" t="s">
        <v>223</v>
      </c>
      <c r="B217" t="s">
        <v>28</v>
      </c>
      <c r="C217" t="s">
        <v>17</v>
      </c>
      <c r="D217" t="s">
        <v>34</v>
      </c>
      <c r="E217">
        <v>122</v>
      </c>
      <c r="F217" s="6">
        <v>10000</v>
      </c>
      <c r="G217" s="6">
        <v>7000</v>
      </c>
      <c r="H217" s="6">
        <v>1220000</v>
      </c>
      <c r="I217" s="5">
        <f t="shared" si="3"/>
        <v>366000</v>
      </c>
    </row>
    <row r="218" spans="1:9" x14ac:dyDescent="0.3">
      <c r="A218" t="s">
        <v>224</v>
      </c>
      <c r="B218" t="s">
        <v>28</v>
      </c>
      <c r="C218" t="s">
        <v>14</v>
      </c>
      <c r="D218" t="s">
        <v>31</v>
      </c>
      <c r="E218">
        <v>106</v>
      </c>
      <c r="F218" s="6">
        <v>1000</v>
      </c>
      <c r="G218" s="6">
        <v>700</v>
      </c>
      <c r="H218" s="6">
        <v>106000</v>
      </c>
      <c r="I218" s="5">
        <f t="shared" si="3"/>
        <v>31800</v>
      </c>
    </row>
    <row r="219" spans="1:9" x14ac:dyDescent="0.3">
      <c r="A219" t="s">
        <v>208</v>
      </c>
      <c r="B219" t="s">
        <v>28</v>
      </c>
      <c r="C219" t="s">
        <v>10</v>
      </c>
      <c r="D219" t="s">
        <v>11</v>
      </c>
      <c r="E219">
        <v>63</v>
      </c>
      <c r="F219" s="6">
        <v>3500</v>
      </c>
      <c r="G219" s="6">
        <v>2500</v>
      </c>
      <c r="H219" s="6">
        <v>220500</v>
      </c>
      <c r="I219" s="5">
        <f t="shared" si="3"/>
        <v>63000</v>
      </c>
    </row>
    <row r="220" spans="1:9" x14ac:dyDescent="0.3">
      <c r="A220" t="s">
        <v>225</v>
      </c>
      <c r="B220" t="s">
        <v>23</v>
      </c>
      <c r="C220" t="s">
        <v>14</v>
      </c>
      <c r="D220" t="s">
        <v>31</v>
      </c>
      <c r="E220">
        <v>73</v>
      </c>
      <c r="F220" s="6">
        <v>1000</v>
      </c>
      <c r="G220" s="6">
        <v>700</v>
      </c>
      <c r="H220" s="6">
        <v>73000</v>
      </c>
      <c r="I220" s="5">
        <f t="shared" si="3"/>
        <v>21900</v>
      </c>
    </row>
    <row r="221" spans="1:9" x14ac:dyDescent="0.3">
      <c r="A221" t="s">
        <v>201</v>
      </c>
      <c r="B221" t="s">
        <v>23</v>
      </c>
      <c r="C221" t="s">
        <v>10</v>
      </c>
      <c r="D221" t="s">
        <v>18</v>
      </c>
      <c r="E221">
        <v>105</v>
      </c>
      <c r="F221" s="6">
        <v>6000</v>
      </c>
      <c r="G221" s="6">
        <v>4000</v>
      </c>
      <c r="H221" s="6">
        <v>630000</v>
      </c>
      <c r="I221" s="5">
        <f t="shared" si="3"/>
        <v>210000</v>
      </c>
    </row>
    <row r="222" spans="1:9" x14ac:dyDescent="0.3">
      <c r="A222" t="s">
        <v>140</v>
      </c>
      <c r="B222" t="s">
        <v>9</v>
      </c>
      <c r="C222" t="s">
        <v>10</v>
      </c>
      <c r="D222" t="s">
        <v>21</v>
      </c>
      <c r="E222">
        <v>89</v>
      </c>
      <c r="F222" s="6">
        <v>600</v>
      </c>
      <c r="G222" s="6">
        <v>400</v>
      </c>
      <c r="H222" s="6">
        <v>53400</v>
      </c>
      <c r="I222" s="5">
        <f t="shared" si="3"/>
        <v>17800</v>
      </c>
    </row>
    <row r="223" spans="1:9" x14ac:dyDescent="0.3">
      <c r="A223" t="s">
        <v>226</v>
      </c>
      <c r="B223" t="s">
        <v>36</v>
      </c>
      <c r="C223" t="s">
        <v>14</v>
      </c>
      <c r="D223" t="s">
        <v>11</v>
      </c>
      <c r="E223">
        <v>60</v>
      </c>
      <c r="F223" s="6">
        <v>3500</v>
      </c>
      <c r="G223" s="6">
        <v>2500</v>
      </c>
      <c r="H223" s="6">
        <v>210000</v>
      </c>
      <c r="I223" s="5">
        <f t="shared" si="3"/>
        <v>60000</v>
      </c>
    </row>
    <row r="224" spans="1:9" x14ac:dyDescent="0.3">
      <c r="A224" t="s">
        <v>227</v>
      </c>
      <c r="B224" t="s">
        <v>13</v>
      </c>
      <c r="C224" t="s">
        <v>17</v>
      </c>
      <c r="D224" t="s">
        <v>11</v>
      </c>
      <c r="E224">
        <v>140</v>
      </c>
      <c r="F224" s="6">
        <v>3500</v>
      </c>
      <c r="G224" s="6">
        <v>2500</v>
      </c>
      <c r="H224" s="6">
        <v>490000</v>
      </c>
      <c r="I224" s="5">
        <f t="shared" si="3"/>
        <v>140000</v>
      </c>
    </row>
    <row r="225" spans="1:9" x14ac:dyDescent="0.3">
      <c r="A225" t="s">
        <v>228</v>
      </c>
      <c r="B225" t="s">
        <v>23</v>
      </c>
      <c r="C225" t="s">
        <v>10</v>
      </c>
      <c r="D225" t="s">
        <v>21</v>
      </c>
      <c r="E225">
        <v>120</v>
      </c>
      <c r="F225" s="6">
        <v>600</v>
      </c>
      <c r="G225" s="6">
        <v>400</v>
      </c>
      <c r="H225" s="6">
        <v>72000</v>
      </c>
      <c r="I225" s="5">
        <f t="shared" si="3"/>
        <v>24000</v>
      </c>
    </row>
    <row r="226" spans="1:9" x14ac:dyDescent="0.3">
      <c r="A226" t="s">
        <v>87</v>
      </c>
      <c r="B226" t="s">
        <v>28</v>
      </c>
      <c r="C226" t="s">
        <v>14</v>
      </c>
      <c r="D226" t="s">
        <v>18</v>
      </c>
      <c r="E226">
        <v>117</v>
      </c>
      <c r="F226" s="6">
        <v>6000</v>
      </c>
      <c r="G226" s="6">
        <v>4000</v>
      </c>
      <c r="H226" s="6">
        <v>702000</v>
      </c>
      <c r="I226" s="5">
        <f t="shared" si="3"/>
        <v>234000</v>
      </c>
    </row>
    <row r="227" spans="1:9" x14ac:dyDescent="0.3">
      <c r="A227" t="s">
        <v>229</v>
      </c>
      <c r="B227" t="s">
        <v>23</v>
      </c>
      <c r="C227" t="s">
        <v>26</v>
      </c>
      <c r="D227" t="s">
        <v>18</v>
      </c>
      <c r="E227">
        <v>96</v>
      </c>
      <c r="F227" s="6">
        <v>6000</v>
      </c>
      <c r="G227" s="6">
        <v>4000</v>
      </c>
      <c r="H227" s="6">
        <v>576000</v>
      </c>
      <c r="I227" s="5">
        <f t="shared" si="3"/>
        <v>192000</v>
      </c>
    </row>
    <row r="228" spans="1:9" x14ac:dyDescent="0.3">
      <c r="A228" t="s">
        <v>118</v>
      </c>
      <c r="B228" t="s">
        <v>58</v>
      </c>
      <c r="C228" t="s">
        <v>26</v>
      </c>
      <c r="D228" t="s">
        <v>31</v>
      </c>
      <c r="E228">
        <v>75</v>
      </c>
      <c r="F228" s="6">
        <v>1000</v>
      </c>
      <c r="G228" s="6">
        <v>700</v>
      </c>
      <c r="H228" s="6">
        <v>75000</v>
      </c>
      <c r="I228" s="5">
        <f t="shared" si="3"/>
        <v>22500</v>
      </c>
    </row>
    <row r="229" spans="1:9" x14ac:dyDescent="0.3">
      <c r="A229" t="s">
        <v>230</v>
      </c>
      <c r="B229" t="s">
        <v>23</v>
      </c>
      <c r="C229" t="s">
        <v>26</v>
      </c>
      <c r="D229" t="s">
        <v>11</v>
      </c>
      <c r="E229">
        <v>120</v>
      </c>
      <c r="F229" s="6">
        <v>3500</v>
      </c>
      <c r="G229" s="6">
        <v>2500</v>
      </c>
      <c r="H229" s="6">
        <v>420000</v>
      </c>
      <c r="I229" s="5">
        <f t="shared" si="3"/>
        <v>120000</v>
      </c>
    </row>
    <row r="230" spans="1:9" x14ac:dyDescent="0.3">
      <c r="A230" t="s">
        <v>231</v>
      </c>
      <c r="B230" t="s">
        <v>36</v>
      </c>
      <c r="C230" t="s">
        <v>26</v>
      </c>
      <c r="D230" t="s">
        <v>18</v>
      </c>
      <c r="E230">
        <v>84</v>
      </c>
      <c r="F230" s="6">
        <v>6000</v>
      </c>
      <c r="G230" s="6">
        <v>4000</v>
      </c>
      <c r="H230" s="6">
        <v>504000</v>
      </c>
      <c r="I230" s="5">
        <f t="shared" si="3"/>
        <v>168000</v>
      </c>
    </row>
    <row r="231" spans="1:9" x14ac:dyDescent="0.3">
      <c r="A231" t="s">
        <v>232</v>
      </c>
      <c r="B231" t="s">
        <v>43</v>
      </c>
      <c r="C231" t="s">
        <v>26</v>
      </c>
      <c r="D231" t="s">
        <v>24</v>
      </c>
      <c r="E231">
        <v>115</v>
      </c>
      <c r="F231" s="6">
        <v>1200</v>
      </c>
      <c r="G231" s="6">
        <v>800</v>
      </c>
      <c r="H231" s="6">
        <v>138000</v>
      </c>
      <c r="I231" s="5">
        <f t="shared" si="3"/>
        <v>46000</v>
      </c>
    </row>
    <row r="232" spans="1:9" x14ac:dyDescent="0.3">
      <c r="A232" t="s">
        <v>233</v>
      </c>
      <c r="B232" t="s">
        <v>43</v>
      </c>
      <c r="C232" t="s">
        <v>26</v>
      </c>
      <c r="D232" t="s">
        <v>21</v>
      </c>
      <c r="E232">
        <v>113</v>
      </c>
      <c r="F232" s="6">
        <v>600</v>
      </c>
      <c r="G232" s="6">
        <v>400</v>
      </c>
      <c r="H232" s="6">
        <v>67800</v>
      </c>
      <c r="I232" s="5">
        <f t="shared" si="3"/>
        <v>22600</v>
      </c>
    </row>
    <row r="233" spans="1:9" x14ac:dyDescent="0.3">
      <c r="A233" t="s">
        <v>234</v>
      </c>
      <c r="B233" t="s">
        <v>40</v>
      </c>
      <c r="C233" t="s">
        <v>26</v>
      </c>
      <c r="D233" t="s">
        <v>11</v>
      </c>
      <c r="E233">
        <v>50</v>
      </c>
      <c r="F233" s="6">
        <v>3500</v>
      </c>
      <c r="G233" s="6">
        <v>2500</v>
      </c>
      <c r="H233" s="6">
        <v>175000</v>
      </c>
      <c r="I233" s="5">
        <f t="shared" si="3"/>
        <v>50000</v>
      </c>
    </row>
    <row r="234" spans="1:9" x14ac:dyDescent="0.3">
      <c r="A234" t="s">
        <v>235</v>
      </c>
      <c r="B234" t="s">
        <v>9</v>
      </c>
      <c r="C234" t="s">
        <v>14</v>
      </c>
      <c r="D234" t="s">
        <v>15</v>
      </c>
      <c r="E234">
        <v>73</v>
      </c>
      <c r="F234" s="6">
        <v>4000</v>
      </c>
      <c r="G234" s="6">
        <v>3000</v>
      </c>
      <c r="H234" s="6">
        <v>292000</v>
      </c>
      <c r="I234" s="5">
        <f t="shared" si="3"/>
        <v>73000</v>
      </c>
    </row>
    <row r="235" spans="1:9" x14ac:dyDescent="0.3">
      <c r="A235" t="s">
        <v>236</v>
      </c>
      <c r="B235" t="s">
        <v>13</v>
      </c>
      <c r="C235" t="s">
        <v>14</v>
      </c>
      <c r="D235" t="s">
        <v>18</v>
      </c>
      <c r="E235">
        <v>99</v>
      </c>
      <c r="F235" s="6">
        <v>6000</v>
      </c>
      <c r="G235" s="6">
        <v>4000</v>
      </c>
      <c r="H235" s="6">
        <v>594000</v>
      </c>
      <c r="I235" s="5">
        <f t="shared" si="3"/>
        <v>198000</v>
      </c>
    </row>
    <row r="236" spans="1:9" x14ac:dyDescent="0.3">
      <c r="A236" t="s">
        <v>119</v>
      </c>
      <c r="B236" t="s">
        <v>23</v>
      </c>
      <c r="C236" t="s">
        <v>26</v>
      </c>
      <c r="D236" t="s">
        <v>21</v>
      </c>
      <c r="E236">
        <v>82</v>
      </c>
      <c r="F236" s="6">
        <v>600</v>
      </c>
      <c r="G236" s="6">
        <v>400</v>
      </c>
      <c r="H236" s="6">
        <v>49200</v>
      </c>
      <c r="I236" s="5">
        <f t="shared" si="3"/>
        <v>16400</v>
      </c>
    </row>
    <row r="237" spans="1:9" x14ac:dyDescent="0.3">
      <c r="A237" t="s">
        <v>121</v>
      </c>
      <c r="B237" t="s">
        <v>40</v>
      </c>
      <c r="C237" t="s">
        <v>26</v>
      </c>
      <c r="D237" t="s">
        <v>31</v>
      </c>
      <c r="E237">
        <v>147</v>
      </c>
      <c r="F237" s="6">
        <v>1000</v>
      </c>
      <c r="G237" s="6">
        <v>700</v>
      </c>
      <c r="H237" s="6">
        <v>147000</v>
      </c>
      <c r="I237" s="5">
        <f t="shared" si="3"/>
        <v>44100</v>
      </c>
    </row>
    <row r="238" spans="1:9" x14ac:dyDescent="0.3">
      <c r="A238" t="s">
        <v>237</v>
      </c>
      <c r="B238" t="s">
        <v>9</v>
      </c>
      <c r="C238" t="s">
        <v>14</v>
      </c>
      <c r="D238" t="s">
        <v>34</v>
      </c>
      <c r="E238">
        <v>57</v>
      </c>
      <c r="F238" s="6">
        <v>10000</v>
      </c>
      <c r="G238" s="6">
        <v>7000</v>
      </c>
      <c r="H238" s="6">
        <v>570000</v>
      </c>
      <c r="I238" s="5">
        <f t="shared" si="3"/>
        <v>171000</v>
      </c>
    </row>
    <row r="239" spans="1:9" x14ac:dyDescent="0.3">
      <c r="A239" t="s">
        <v>238</v>
      </c>
      <c r="B239" t="s">
        <v>20</v>
      </c>
      <c r="C239" t="s">
        <v>14</v>
      </c>
      <c r="D239" t="s">
        <v>15</v>
      </c>
      <c r="E239">
        <v>86</v>
      </c>
      <c r="F239" s="6">
        <v>4000</v>
      </c>
      <c r="G239" s="6">
        <v>3000</v>
      </c>
      <c r="H239" s="6">
        <v>344000</v>
      </c>
      <c r="I239" s="5">
        <f t="shared" si="3"/>
        <v>86000</v>
      </c>
    </row>
    <row r="240" spans="1:9" x14ac:dyDescent="0.3">
      <c r="A240" t="s">
        <v>239</v>
      </c>
      <c r="B240" t="s">
        <v>9</v>
      </c>
      <c r="C240" t="s">
        <v>14</v>
      </c>
      <c r="D240" t="s">
        <v>31</v>
      </c>
      <c r="E240">
        <v>144</v>
      </c>
      <c r="F240" s="6">
        <v>1000</v>
      </c>
      <c r="G240" s="6">
        <v>700</v>
      </c>
      <c r="H240" s="6">
        <v>144000</v>
      </c>
      <c r="I240" s="5">
        <f t="shared" si="3"/>
        <v>43200</v>
      </c>
    </row>
    <row r="241" spans="1:9" x14ac:dyDescent="0.3">
      <c r="A241" t="s">
        <v>240</v>
      </c>
      <c r="B241" t="s">
        <v>20</v>
      </c>
      <c r="C241" t="s">
        <v>17</v>
      </c>
      <c r="D241" t="s">
        <v>24</v>
      </c>
      <c r="E241">
        <v>144</v>
      </c>
      <c r="F241" s="6">
        <v>1200</v>
      </c>
      <c r="G241" s="6">
        <v>800</v>
      </c>
      <c r="H241" s="6">
        <v>172800</v>
      </c>
      <c r="I241" s="5">
        <f t="shared" si="3"/>
        <v>57600</v>
      </c>
    </row>
    <row r="242" spans="1:9" x14ac:dyDescent="0.3">
      <c r="A242" t="s">
        <v>224</v>
      </c>
      <c r="B242" t="s">
        <v>43</v>
      </c>
      <c r="C242" t="s">
        <v>17</v>
      </c>
      <c r="D242" t="s">
        <v>24</v>
      </c>
      <c r="E242">
        <v>51</v>
      </c>
      <c r="F242" s="6">
        <v>1200</v>
      </c>
      <c r="G242" s="6">
        <v>800</v>
      </c>
      <c r="H242" s="6">
        <v>61200</v>
      </c>
      <c r="I242" s="5">
        <f t="shared" si="3"/>
        <v>20400</v>
      </c>
    </row>
    <row r="243" spans="1:9" x14ac:dyDescent="0.3">
      <c r="A243" t="s">
        <v>241</v>
      </c>
      <c r="B243" t="s">
        <v>9</v>
      </c>
      <c r="C243" t="s">
        <v>14</v>
      </c>
      <c r="D243" t="s">
        <v>31</v>
      </c>
      <c r="E243">
        <v>150</v>
      </c>
      <c r="F243" s="6">
        <v>1000</v>
      </c>
      <c r="G243" s="6">
        <v>700</v>
      </c>
      <c r="H243" s="6">
        <v>150000</v>
      </c>
      <c r="I243" s="5">
        <f t="shared" si="3"/>
        <v>45000</v>
      </c>
    </row>
    <row r="244" spans="1:9" x14ac:dyDescent="0.3">
      <c r="A244" t="s">
        <v>155</v>
      </c>
      <c r="B244" t="s">
        <v>13</v>
      </c>
      <c r="C244" t="s">
        <v>17</v>
      </c>
      <c r="D244" t="s">
        <v>18</v>
      </c>
      <c r="E244">
        <v>67</v>
      </c>
      <c r="F244" s="6">
        <v>6000</v>
      </c>
      <c r="G244" s="6">
        <v>4000</v>
      </c>
      <c r="H244" s="6">
        <v>402000</v>
      </c>
      <c r="I244" s="5">
        <f t="shared" si="3"/>
        <v>134000</v>
      </c>
    </row>
    <row r="245" spans="1:9" x14ac:dyDescent="0.3">
      <c r="A245" t="s">
        <v>242</v>
      </c>
      <c r="B245" t="s">
        <v>40</v>
      </c>
      <c r="C245" t="s">
        <v>10</v>
      </c>
      <c r="D245" t="s">
        <v>34</v>
      </c>
      <c r="E245">
        <v>143</v>
      </c>
      <c r="F245" s="6">
        <v>10000</v>
      </c>
      <c r="G245" s="6">
        <v>7000</v>
      </c>
      <c r="H245" s="6">
        <v>1430000</v>
      </c>
      <c r="I245" s="5">
        <f t="shared" si="3"/>
        <v>429000</v>
      </c>
    </row>
    <row r="246" spans="1:9" x14ac:dyDescent="0.3">
      <c r="A246" t="s">
        <v>243</v>
      </c>
      <c r="B246" t="s">
        <v>20</v>
      </c>
      <c r="C246" t="s">
        <v>26</v>
      </c>
      <c r="D246" t="s">
        <v>34</v>
      </c>
      <c r="E246">
        <v>53</v>
      </c>
      <c r="F246" s="6">
        <v>10000</v>
      </c>
      <c r="G246" s="6">
        <v>7000</v>
      </c>
      <c r="H246" s="6">
        <v>530000</v>
      </c>
      <c r="I246" s="5">
        <f t="shared" si="3"/>
        <v>159000</v>
      </c>
    </row>
    <row r="247" spans="1:9" x14ac:dyDescent="0.3">
      <c r="A247" t="s">
        <v>244</v>
      </c>
      <c r="B247" t="s">
        <v>28</v>
      </c>
      <c r="C247" t="s">
        <v>17</v>
      </c>
      <c r="D247" t="s">
        <v>21</v>
      </c>
      <c r="E247">
        <v>75</v>
      </c>
      <c r="F247" s="6">
        <v>600</v>
      </c>
      <c r="G247" s="6">
        <v>400</v>
      </c>
      <c r="H247" s="6">
        <v>45000</v>
      </c>
      <c r="I247" s="5">
        <f t="shared" si="3"/>
        <v>15000</v>
      </c>
    </row>
    <row r="248" spans="1:9" x14ac:dyDescent="0.3">
      <c r="A248" t="s">
        <v>245</v>
      </c>
      <c r="B248" t="s">
        <v>23</v>
      </c>
      <c r="C248" t="s">
        <v>14</v>
      </c>
      <c r="D248" t="s">
        <v>18</v>
      </c>
      <c r="E248">
        <v>77</v>
      </c>
      <c r="F248" s="6">
        <v>6000</v>
      </c>
      <c r="G248" s="6">
        <v>4000</v>
      </c>
      <c r="H248" s="6">
        <v>462000</v>
      </c>
      <c r="I248" s="5">
        <f t="shared" si="3"/>
        <v>154000</v>
      </c>
    </row>
    <row r="249" spans="1:9" x14ac:dyDescent="0.3">
      <c r="A249" t="s">
        <v>171</v>
      </c>
      <c r="B249" t="s">
        <v>40</v>
      </c>
      <c r="C249" t="s">
        <v>17</v>
      </c>
      <c r="D249" t="s">
        <v>31</v>
      </c>
      <c r="E249">
        <v>81</v>
      </c>
      <c r="F249" s="6">
        <v>1000</v>
      </c>
      <c r="G249" s="6">
        <v>700</v>
      </c>
      <c r="H249" s="6">
        <v>81000</v>
      </c>
      <c r="I249" s="5">
        <f t="shared" si="3"/>
        <v>24300</v>
      </c>
    </row>
    <row r="250" spans="1:9" x14ac:dyDescent="0.3">
      <c r="A250" t="s">
        <v>246</v>
      </c>
      <c r="B250" t="s">
        <v>23</v>
      </c>
      <c r="C250" t="s">
        <v>26</v>
      </c>
      <c r="D250" t="s">
        <v>18</v>
      </c>
      <c r="E250">
        <v>92</v>
      </c>
      <c r="F250" s="6">
        <v>6000</v>
      </c>
      <c r="G250" s="6">
        <v>4000</v>
      </c>
      <c r="H250" s="6">
        <v>552000</v>
      </c>
      <c r="I250" s="5">
        <f t="shared" si="3"/>
        <v>184000</v>
      </c>
    </row>
    <row r="251" spans="1:9" x14ac:dyDescent="0.3">
      <c r="A251" t="s">
        <v>247</v>
      </c>
      <c r="B251" t="s">
        <v>40</v>
      </c>
      <c r="C251" t="s">
        <v>26</v>
      </c>
      <c r="D251" t="s">
        <v>34</v>
      </c>
      <c r="E251">
        <v>73</v>
      </c>
      <c r="F251" s="6">
        <v>10000</v>
      </c>
      <c r="G251" s="6">
        <v>7000</v>
      </c>
      <c r="H251" s="6">
        <v>730000</v>
      </c>
      <c r="I251" s="5">
        <f t="shared" si="3"/>
        <v>219000</v>
      </c>
    </row>
    <row r="252" spans="1:9" x14ac:dyDescent="0.3">
      <c r="A252" t="s">
        <v>233</v>
      </c>
      <c r="B252" t="s">
        <v>13</v>
      </c>
      <c r="C252" t="s">
        <v>26</v>
      </c>
      <c r="D252" t="s">
        <v>18</v>
      </c>
      <c r="E252">
        <v>84</v>
      </c>
      <c r="F252" s="6">
        <v>6000</v>
      </c>
      <c r="G252" s="6">
        <v>4000</v>
      </c>
      <c r="H252" s="6">
        <v>504000</v>
      </c>
      <c r="I252" s="5">
        <f t="shared" si="3"/>
        <v>168000</v>
      </c>
    </row>
    <row r="253" spans="1:9" x14ac:dyDescent="0.3">
      <c r="A253" t="s">
        <v>220</v>
      </c>
      <c r="B253" t="s">
        <v>36</v>
      </c>
      <c r="C253" t="s">
        <v>14</v>
      </c>
      <c r="D253" t="s">
        <v>11</v>
      </c>
      <c r="E253">
        <v>121</v>
      </c>
      <c r="F253" s="6">
        <v>3500</v>
      </c>
      <c r="G253" s="6">
        <v>2500</v>
      </c>
      <c r="H253" s="6">
        <v>423500</v>
      </c>
      <c r="I253" s="5">
        <f t="shared" si="3"/>
        <v>121000</v>
      </c>
    </row>
    <row r="254" spans="1:9" x14ac:dyDescent="0.3">
      <c r="A254" t="s">
        <v>248</v>
      </c>
      <c r="B254" t="s">
        <v>13</v>
      </c>
      <c r="C254" t="s">
        <v>14</v>
      </c>
      <c r="D254" t="s">
        <v>34</v>
      </c>
      <c r="E254">
        <v>65</v>
      </c>
      <c r="F254" s="6">
        <v>10000</v>
      </c>
      <c r="G254" s="6">
        <v>7000</v>
      </c>
      <c r="H254" s="6">
        <v>650000</v>
      </c>
      <c r="I254" s="5">
        <f t="shared" si="3"/>
        <v>195000</v>
      </c>
    </row>
    <row r="255" spans="1:9" x14ac:dyDescent="0.3">
      <c r="A255" t="s">
        <v>249</v>
      </c>
      <c r="B255" t="s">
        <v>13</v>
      </c>
      <c r="C255" t="s">
        <v>14</v>
      </c>
      <c r="D255" t="s">
        <v>21</v>
      </c>
      <c r="E255">
        <v>95</v>
      </c>
      <c r="F255" s="6">
        <v>600</v>
      </c>
      <c r="G255" s="6">
        <v>400</v>
      </c>
      <c r="H255" s="6">
        <v>57000</v>
      </c>
      <c r="I255" s="5">
        <f t="shared" si="3"/>
        <v>19000</v>
      </c>
    </row>
    <row r="256" spans="1:9" x14ac:dyDescent="0.3">
      <c r="A256" t="s">
        <v>250</v>
      </c>
      <c r="B256" t="s">
        <v>40</v>
      </c>
      <c r="C256" t="s">
        <v>17</v>
      </c>
      <c r="D256" t="s">
        <v>18</v>
      </c>
      <c r="E256">
        <v>145</v>
      </c>
      <c r="F256" s="6">
        <v>6000</v>
      </c>
      <c r="G256" s="6">
        <v>4000</v>
      </c>
      <c r="H256" s="6">
        <v>870000</v>
      </c>
      <c r="I256" s="5">
        <f t="shared" si="3"/>
        <v>290000</v>
      </c>
    </row>
    <row r="257" spans="1:9" x14ac:dyDescent="0.3">
      <c r="A257" t="s">
        <v>251</v>
      </c>
      <c r="B257" t="s">
        <v>40</v>
      </c>
      <c r="C257" t="s">
        <v>26</v>
      </c>
      <c r="D257" t="s">
        <v>15</v>
      </c>
      <c r="E257">
        <v>110</v>
      </c>
      <c r="F257" s="6">
        <v>4000</v>
      </c>
      <c r="G257" s="6">
        <v>3000</v>
      </c>
      <c r="H257" s="6">
        <v>440000</v>
      </c>
      <c r="I257" s="5">
        <f t="shared" si="3"/>
        <v>110000</v>
      </c>
    </row>
    <row r="258" spans="1:9" x14ac:dyDescent="0.3">
      <c r="A258" t="s">
        <v>252</v>
      </c>
      <c r="B258" t="s">
        <v>20</v>
      </c>
      <c r="C258" t="s">
        <v>14</v>
      </c>
      <c r="D258" t="s">
        <v>24</v>
      </c>
      <c r="E258">
        <v>150</v>
      </c>
      <c r="F258" s="6">
        <v>1200</v>
      </c>
      <c r="G258" s="6">
        <v>800</v>
      </c>
      <c r="H258" s="6">
        <v>180000</v>
      </c>
      <c r="I258" s="5">
        <f t="shared" ref="I258:I321" si="4">H258-(G258*E258)</f>
        <v>60000</v>
      </c>
    </row>
    <row r="259" spans="1:9" x14ac:dyDescent="0.3">
      <c r="A259" t="s">
        <v>233</v>
      </c>
      <c r="B259" t="s">
        <v>40</v>
      </c>
      <c r="C259" t="s">
        <v>26</v>
      </c>
      <c r="D259" t="s">
        <v>24</v>
      </c>
      <c r="E259">
        <v>150</v>
      </c>
      <c r="F259" s="6">
        <v>1200</v>
      </c>
      <c r="G259" s="6">
        <v>800</v>
      </c>
      <c r="H259" s="6">
        <v>180000</v>
      </c>
      <c r="I259" s="5">
        <f t="shared" si="4"/>
        <v>60000</v>
      </c>
    </row>
    <row r="260" spans="1:9" x14ac:dyDescent="0.3">
      <c r="A260" t="s">
        <v>253</v>
      </c>
      <c r="B260" t="s">
        <v>13</v>
      </c>
      <c r="C260" t="s">
        <v>10</v>
      </c>
      <c r="D260" t="s">
        <v>15</v>
      </c>
      <c r="E260">
        <v>111</v>
      </c>
      <c r="F260" s="6">
        <v>4000</v>
      </c>
      <c r="G260" s="6">
        <v>3000</v>
      </c>
      <c r="H260" s="6">
        <v>444000</v>
      </c>
      <c r="I260" s="5">
        <f t="shared" si="4"/>
        <v>111000</v>
      </c>
    </row>
    <row r="261" spans="1:9" x14ac:dyDescent="0.3">
      <c r="A261" t="s">
        <v>254</v>
      </c>
      <c r="B261" t="s">
        <v>20</v>
      </c>
      <c r="C261" t="s">
        <v>26</v>
      </c>
      <c r="D261" t="s">
        <v>34</v>
      </c>
      <c r="E261">
        <v>144</v>
      </c>
      <c r="F261" s="6">
        <v>10000</v>
      </c>
      <c r="G261" s="6">
        <v>7000</v>
      </c>
      <c r="H261" s="6">
        <v>1440000</v>
      </c>
      <c r="I261" s="5">
        <f t="shared" si="4"/>
        <v>432000</v>
      </c>
    </row>
    <row r="262" spans="1:9" x14ac:dyDescent="0.3">
      <c r="A262" t="s">
        <v>255</v>
      </c>
      <c r="B262" t="s">
        <v>43</v>
      </c>
      <c r="C262" t="s">
        <v>26</v>
      </c>
      <c r="D262" t="s">
        <v>21</v>
      </c>
      <c r="E262">
        <v>105</v>
      </c>
      <c r="F262" s="6">
        <v>600</v>
      </c>
      <c r="G262" s="6">
        <v>400</v>
      </c>
      <c r="H262" s="6">
        <v>63000</v>
      </c>
      <c r="I262" s="5">
        <f t="shared" si="4"/>
        <v>21000</v>
      </c>
    </row>
    <row r="263" spans="1:9" x14ac:dyDescent="0.3">
      <c r="A263" t="s">
        <v>256</v>
      </c>
      <c r="B263" t="s">
        <v>23</v>
      </c>
      <c r="C263" t="s">
        <v>26</v>
      </c>
      <c r="D263" t="s">
        <v>18</v>
      </c>
      <c r="E263">
        <v>55</v>
      </c>
      <c r="F263" s="6">
        <v>6000</v>
      </c>
      <c r="G263" s="6">
        <v>4000</v>
      </c>
      <c r="H263" s="6">
        <v>330000</v>
      </c>
      <c r="I263" s="5">
        <f t="shared" si="4"/>
        <v>110000</v>
      </c>
    </row>
    <row r="264" spans="1:9" x14ac:dyDescent="0.3">
      <c r="A264" t="s">
        <v>257</v>
      </c>
      <c r="B264" t="s">
        <v>20</v>
      </c>
      <c r="C264" t="s">
        <v>10</v>
      </c>
      <c r="D264" t="s">
        <v>15</v>
      </c>
      <c r="E264">
        <v>100</v>
      </c>
      <c r="F264" s="6">
        <v>4000</v>
      </c>
      <c r="G264" s="6">
        <v>3000</v>
      </c>
      <c r="H264" s="6">
        <v>400000</v>
      </c>
      <c r="I264" s="5">
        <f t="shared" si="4"/>
        <v>100000</v>
      </c>
    </row>
    <row r="265" spans="1:9" x14ac:dyDescent="0.3">
      <c r="A265" t="s">
        <v>258</v>
      </c>
      <c r="B265" t="s">
        <v>13</v>
      </c>
      <c r="C265" t="s">
        <v>14</v>
      </c>
      <c r="D265" t="s">
        <v>11</v>
      </c>
      <c r="E265">
        <v>80</v>
      </c>
      <c r="F265" s="6">
        <v>3500</v>
      </c>
      <c r="G265" s="6">
        <v>2500</v>
      </c>
      <c r="H265" s="6">
        <v>280000</v>
      </c>
      <c r="I265" s="5">
        <f t="shared" si="4"/>
        <v>80000</v>
      </c>
    </row>
    <row r="266" spans="1:9" x14ac:dyDescent="0.3">
      <c r="A266" t="s">
        <v>94</v>
      </c>
      <c r="B266" t="s">
        <v>13</v>
      </c>
      <c r="C266" t="s">
        <v>10</v>
      </c>
      <c r="D266" t="s">
        <v>24</v>
      </c>
      <c r="E266">
        <v>75</v>
      </c>
      <c r="F266" s="6">
        <v>1200</v>
      </c>
      <c r="G266" s="6">
        <v>800</v>
      </c>
      <c r="H266" s="6">
        <v>90000</v>
      </c>
      <c r="I266" s="5">
        <f t="shared" si="4"/>
        <v>30000</v>
      </c>
    </row>
    <row r="267" spans="1:9" x14ac:dyDescent="0.3">
      <c r="A267" t="s">
        <v>259</v>
      </c>
      <c r="B267" t="s">
        <v>23</v>
      </c>
      <c r="C267" t="s">
        <v>17</v>
      </c>
      <c r="D267" t="s">
        <v>15</v>
      </c>
      <c r="E267">
        <v>78</v>
      </c>
      <c r="F267" s="6">
        <v>4000</v>
      </c>
      <c r="G267" s="6">
        <v>3000</v>
      </c>
      <c r="H267" s="6">
        <v>312000</v>
      </c>
      <c r="I267" s="5">
        <f t="shared" si="4"/>
        <v>78000</v>
      </c>
    </row>
    <row r="268" spans="1:9" x14ac:dyDescent="0.3">
      <c r="A268" t="s">
        <v>260</v>
      </c>
      <c r="B268" t="s">
        <v>30</v>
      </c>
      <c r="C268" t="s">
        <v>26</v>
      </c>
      <c r="D268" t="s">
        <v>34</v>
      </c>
      <c r="E268">
        <v>64</v>
      </c>
      <c r="F268" s="6">
        <v>10000</v>
      </c>
      <c r="G268" s="6">
        <v>7000</v>
      </c>
      <c r="H268" s="6">
        <v>640000</v>
      </c>
      <c r="I268" s="5">
        <f t="shared" si="4"/>
        <v>192000</v>
      </c>
    </row>
    <row r="269" spans="1:9" x14ac:dyDescent="0.3">
      <c r="A269" t="s">
        <v>261</v>
      </c>
      <c r="B269" t="s">
        <v>43</v>
      </c>
      <c r="C269" t="s">
        <v>10</v>
      </c>
      <c r="D269" t="s">
        <v>18</v>
      </c>
      <c r="E269">
        <v>124</v>
      </c>
      <c r="F269" s="6">
        <v>6000</v>
      </c>
      <c r="G269" s="6">
        <v>4000</v>
      </c>
      <c r="H269" s="6">
        <v>744000</v>
      </c>
      <c r="I269" s="5">
        <f t="shared" si="4"/>
        <v>248000</v>
      </c>
    </row>
    <row r="270" spans="1:9" x14ac:dyDescent="0.3">
      <c r="A270" t="s">
        <v>262</v>
      </c>
      <c r="B270" t="s">
        <v>23</v>
      </c>
      <c r="C270" t="s">
        <v>17</v>
      </c>
      <c r="D270" t="s">
        <v>24</v>
      </c>
      <c r="E270">
        <v>67</v>
      </c>
      <c r="F270" s="6">
        <v>1200</v>
      </c>
      <c r="G270" s="6">
        <v>800</v>
      </c>
      <c r="H270" s="6">
        <v>80400</v>
      </c>
      <c r="I270" s="5">
        <f t="shared" si="4"/>
        <v>26800</v>
      </c>
    </row>
    <row r="271" spans="1:9" x14ac:dyDescent="0.3">
      <c r="A271" t="s">
        <v>263</v>
      </c>
      <c r="B271" t="s">
        <v>43</v>
      </c>
      <c r="C271" t="s">
        <v>17</v>
      </c>
      <c r="D271" t="s">
        <v>18</v>
      </c>
      <c r="E271">
        <v>139</v>
      </c>
      <c r="F271" s="6">
        <v>6000</v>
      </c>
      <c r="G271" s="6">
        <v>4000</v>
      </c>
      <c r="H271" s="6">
        <v>834000</v>
      </c>
      <c r="I271" s="5">
        <f t="shared" si="4"/>
        <v>278000</v>
      </c>
    </row>
    <row r="272" spans="1:9" x14ac:dyDescent="0.3">
      <c r="A272" t="s">
        <v>118</v>
      </c>
      <c r="B272" t="s">
        <v>9</v>
      </c>
      <c r="C272" t="s">
        <v>26</v>
      </c>
      <c r="D272" t="s">
        <v>31</v>
      </c>
      <c r="E272">
        <v>64</v>
      </c>
      <c r="F272" s="6">
        <v>1000</v>
      </c>
      <c r="G272" s="6">
        <v>700</v>
      </c>
      <c r="H272" s="6">
        <v>64000</v>
      </c>
      <c r="I272" s="5">
        <f t="shared" si="4"/>
        <v>19200</v>
      </c>
    </row>
    <row r="273" spans="1:9" x14ac:dyDescent="0.3">
      <c r="A273" t="s">
        <v>264</v>
      </c>
      <c r="B273" t="s">
        <v>20</v>
      </c>
      <c r="C273" t="s">
        <v>10</v>
      </c>
      <c r="D273" t="s">
        <v>24</v>
      </c>
      <c r="E273">
        <v>74</v>
      </c>
      <c r="F273" s="6">
        <v>1200</v>
      </c>
      <c r="G273" s="6">
        <v>800</v>
      </c>
      <c r="H273" s="6">
        <v>88800</v>
      </c>
      <c r="I273" s="5">
        <f t="shared" si="4"/>
        <v>29600</v>
      </c>
    </row>
    <row r="274" spans="1:9" x14ac:dyDescent="0.3">
      <c r="A274" t="s">
        <v>265</v>
      </c>
      <c r="B274" t="s">
        <v>23</v>
      </c>
      <c r="C274" t="s">
        <v>17</v>
      </c>
      <c r="D274" t="s">
        <v>24</v>
      </c>
      <c r="E274">
        <v>133</v>
      </c>
      <c r="F274" s="6">
        <v>1200</v>
      </c>
      <c r="G274" s="6">
        <v>800</v>
      </c>
      <c r="H274" s="6">
        <v>159600</v>
      </c>
      <c r="I274" s="5">
        <f t="shared" si="4"/>
        <v>53200</v>
      </c>
    </row>
    <row r="275" spans="1:9" x14ac:dyDescent="0.3">
      <c r="A275" t="s">
        <v>266</v>
      </c>
      <c r="B275" t="s">
        <v>43</v>
      </c>
      <c r="C275" t="s">
        <v>10</v>
      </c>
      <c r="D275" t="s">
        <v>18</v>
      </c>
      <c r="E275">
        <v>55</v>
      </c>
      <c r="F275" s="6">
        <v>6000</v>
      </c>
      <c r="G275" s="6">
        <v>4000</v>
      </c>
      <c r="H275" s="6">
        <v>330000</v>
      </c>
      <c r="I275" s="5">
        <f t="shared" si="4"/>
        <v>110000</v>
      </c>
    </row>
    <row r="276" spans="1:9" x14ac:dyDescent="0.3">
      <c r="A276" t="s">
        <v>207</v>
      </c>
      <c r="B276" t="s">
        <v>13</v>
      </c>
      <c r="C276" t="s">
        <v>26</v>
      </c>
      <c r="D276" t="s">
        <v>11</v>
      </c>
      <c r="E276">
        <v>78</v>
      </c>
      <c r="F276" s="6">
        <v>3500</v>
      </c>
      <c r="G276" s="6">
        <v>2500</v>
      </c>
      <c r="H276" s="6">
        <v>273000</v>
      </c>
      <c r="I276" s="5">
        <f t="shared" si="4"/>
        <v>78000</v>
      </c>
    </row>
    <row r="277" spans="1:9" x14ac:dyDescent="0.3">
      <c r="A277" t="s">
        <v>197</v>
      </c>
      <c r="B277" t="s">
        <v>40</v>
      </c>
      <c r="C277" t="s">
        <v>10</v>
      </c>
      <c r="D277" t="s">
        <v>31</v>
      </c>
      <c r="E277">
        <v>92</v>
      </c>
      <c r="F277" s="6">
        <v>1000</v>
      </c>
      <c r="G277" s="6">
        <v>700</v>
      </c>
      <c r="H277" s="6">
        <v>92000</v>
      </c>
      <c r="I277" s="5">
        <f t="shared" si="4"/>
        <v>27600</v>
      </c>
    </row>
    <row r="278" spans="1:9" x14ac:dyDescent="0.3">
      <c r="A278" t="s">
        <v>267</v>
      </c>
      <c r="B278" t="s">
        <v>9</v>
      </c>
      <c r="C278" t="s">
        <v>17</v>
      </c>
      <c r="D278" t="s">
        <v>15</v>
      </c>
      <c r="E278">
        <v>92</v>
      </c>
      <c r="F278" s="6">
        <v>4000</v>
      </c>
      <c r="G278" s="6">
        <v>3000</v>
      </c>
      <c r="H278" s="6">
        <v>368000</v>
      </c>
      <c r="I278" s="5">
        <f t="shared" si="4"/>
        <v>92000</v>
      </c>
    </row>
    <row r="279" spans="1:9" x14ac:dyDescent="0.3">
      <c r="A279" t="s">
        <v>268</v>
      </c>
      <c r="B279" t="s">
        <v>30</v>
      </c>
      <c r="C279" t="s">
        <v>14</v>
      </c>
      <c r="D279" t="s">
        <v>21</v>
      </c>
      <c r="E279">
        <v>96</v>
      </c>
      <c r="F279" s="6">
        <v>600</v>
      </c>
      <c r="G279" s="6">
        <v>400</v>
      </c>
      <c r="H279" s="6">
        <v>57600</v>
      </c>
      <c r="I279" s="5">
        <f t="shared" si="4"/>
        <v>19200</v>
      </c>
    </row>
    <row r="280" spans="1:9" x14ac:dyDescent="0.3">
      <c r="A280" t="s">
        <v>269</v>
      </c>
      <c r="B280" t="s">
        <v>36</v>
      </c>
      <c r="C280" t="s">
        <v>10</v>
      </c>
      <c r="D280" t="s">
        <v>34</v>
      </c>
      <c r="E280">
        <v>127</v>
      </c>
      <c r="F280" s="6">
        <v>10000</v>
      </c>
      <c r="G280" s="6">
        <v>7000</v>
      </c>
      <c r="H280" s="6">
        <v>1270000</v>
      </c>
      <c r="I280" s="5">
        <f t="shared" si="4"/>
        <v>381000</v>
      </c>
    </row>
    <row r="281" spans="1:9" x14ac:dyDescent="0.3">
      <c r="A281" t="s">
        <v>104</v>
      </c>
      <c r="B281" t="s">
        <v>40</v>
      </c>
      <c r="C281" t="s">
        <v>26</v>
      </c>
      <c r="D281" t="s">
        <v>24</v>
      </c>
      <c r="E281">
        <v>131</v>
      </c>
      <c r="F281" s="6">
        <v>1200</v>
      </c>
      <c r="G281" s="6">
        <v>800</v>
      </c>
      <c r="H281" s="6">
        <v>157200</v>
      </c>
      <c r="I281" s="5">
        <f t="shared" si="4"/>
        <v>52400</v>
      </c>
    </row>
    <row r="282" spans="1:9" x14ac:dyDescent="0.3">
      <c r="A282" t="s">
        <v>119</v>
      </c>
      <c r="B282" t="s">
        <v>58</v>
      </c>
      <c r="C282" t="s">
        <v>10</v>
      </c>
      <c r="D282" t="s">
        <v>24</v>
      </c>
      <c r="E282">
        <v>111</v>
      </c>
      <c r="F282" s="6">
        <v>1200</v>
      </c>
      <c r="G282" s="6">
        <v>800</v>
      </c>
      <c r="H282" s="6">
        <v>133200</v>
      </c>
      <c r="I282" s="5">
        <f t="shared" si="4"/>
        <v>44400</v>
      </c>
    </row>
    <row r="283" spans="1:9" x14ac:dyDescent="0.3">
      <c r="A283" t="s">
        <v>270</v>
      </c>
      <c r="B283" t="s">
        <v>36</v>
      </c>
      <c r="C283" t="s">
        <v>26</v>
      </c>
      <c r="D283" t="s">
        <v>34</v>
      </c>
      <c r="E283">
        <v>149</v>
      </c>
      <c r="F283" s="6">
        <v>10000</v>
      </c>
      <c r="G283" s="6">
        <v>7000</v>
      </c>
      <c r="H283" s="6">
        <v>1490000</v>
      </c>
      <c r="I283" s="5">
        <f t="shared" si="4"/>
        <v>447000</v>
      </c>
    </row>
    <row r="284" spans="1:9" x14ac:dyDescent="0.3">
      <c r="A284" t="s">
        <v>271</v>
      </c>
      <c r="B284" t="s">
        <v>9</v>
      </c>
      <c r="C284" t="s">
        <v>10</v>
      </c>
      <c r="D284" t="s">
        <v>18</v>
      </c>
      <c r="E284">
        <v>129</v>
      </c>
      <c r="F284" s="6">
        <v>6000</v>
      </c>
      <c r="G284" s="6">
        <v>4000</v>
      </c>
      <c r="H284" s="6">
        <v>774000</v>
      </c>
      <c r="I284" s="5">
        <f t="shared" si="4"/>
        <v>258000</v>
      </c>
    </row>
    <row r="285" spans="1:9" x14ac:dyDescent="0.3">
      <c r="A285" t="s">
        <v>272</v>
      </c>
      <c r="B285" t="s">
        <v>58</v>
      </c>
      <c r="C285" t="s">
        <v>26</v>
      </c>
      <c r="D285" t="s">
        <v>11</v>
      </c>
      <c r="E285">
        <v>96</v>
      </c>
      <c r="F285" s="6">
        <v>3500</v>
      </c>
      <c r="G285" s="6">
        <v>2500</v>
      </c>
      <c r="H285" s="6">
        <v>336000</v>
      </c>
      <c r="I285" s="5">
        <f t="shared" si="4"/>
        <v>96000</v>
      </c>
    </row>
    <row r="286" spans="1:9" x14ac:dyDescent="0.3">
      <c r="A286" t="s">
        <v>273</v>
      </c>
      <c r="B286" t="s">
        <v>40</v>
      </c>
      <c r="C286" t="s">
        <v>10</v>
      </c>
      <c r="D286" t="s">
        <v>18</v>
      </c>
      <c r="E286">
        <v>139</v>
      </c>
      <c r="F286" s="6">
        <v>6000</v>
      </c>
      <c r="G286" s="6">
        <v>4000</v>
      </c>
      <c r="H286" s="6">
        <v>834000</v>
      </c>
      <c r="I286" s="5">
        <f t="shared" si="4"/>
        <v>278000</v>
      </c>
    </row>
    <row r="287" spans="1:9" x14ac:dyDescent="0.3">
      <c r="A287" t="s">
        <v>274</v>
      </c>
      <c r="B287" t="s">
        <v>58</v>
      </c>
      <c r="C287" t="s">
        <v>10</v>
      </c>
      <c r="D287" t="s">
        <v>21</v>
      </c>
      <c r="E287">
        <v>80</v>
      </c>
      <c r="F287" s="6">
        <v>600</v>
      </c>
      <c r="G287" s="6">
        <v>400</v>
      </c>
      <c r="H287" s="6">
        <v>48000</v>
      </c>
      <c r="I287" s="5">
        <f t="shared" si="4"/>
        <v>16000</v>
      </c>
    </row>
    <row r="288" spans="1:9" x14ac:dyDescent="0.3">
      <c r="A288" t="s">
        <v>275</v>
      </c>
      <c r="B288" t="s">
        <v>23</v>
      </c>
      <c r="C288" t="s">
        <v>17</v>
      </c>
      <c r="D288" t="s">
        <v>11</v>
      </c>
      <c r="E288">
        <v>136</v>
      </c>
      <c r="F288" s="6">
        <v>3500</v>
      </c>
      <c r="G288" s="6">
        <v>2500</v>
      </c>
      <c r="H288" s="6">
        <v>476000</v>
      </c>
      <c r="I288" s="5">
        <f t="shared" si="4"/>
        <v>136000</v>
      </c>
    </row>
    <row r="289" spans="1:9" x14ac:dyDescent="0.3">
      <c r="A289" t="s">
        <v>276</v>
      </c>
      <c r="B289" t="s">
        <v>40</v>
      </c>
      <c r="C289" t="s">
        <v>10</v>
      </c>
      <c r="D289" t="s">
        <v>21</v>
      </c>
      <c r="E289">
        <v>80</v>
      </c>
      <c r="F289" s="6">
        <v>600</v>
      </c>
      <c r="G289" s="6">
        <v>400</v>
      </c>
      <c r="H289" s="6">
        <v>48000</v>
      </c>
      <c r="I289" s="5">
        <f t="shared" si="4"/>
        <v>16000</v>
      </c>
    </row>
    <row r="290" spans="1:9" x14ac:dyDescent="0.3">
      <c r="A290" t="s">
        <v>277</v>
      </c>
      <c r="B290" t="s">
        <v>20</v>
      </c>
      <c r="C290" t="s">
        <v>26</v>
      </c>
      <c r="D290" t="s">
        <v>18</v>
      </c>
      <c r="E290">
        <v>54</v>
      </c>
      <c r="F290" s="6">
        <v>6000</v>
      </c>
      <c r="G290" s="6">
        <v>4000</v>
      </c>
      <c r="H290" s="6">
        <v>324000</v>
      </c>
      <c r="I290" s="5">
        <f t="shared" si="4"/>
        <v>108000</v>
      </c>
    </row>
    <row r="291" spans="1:9" x14ac:dyDescent="0.3">
      <c r="A291" t="s">
        <v>278</v>
      </c>
      <c r="B291" t="s">
        <v>28</v>
      </c>
      <c r="C291" t="s">
        <v>17</v>
      </c>
      <c r="D291" t="s">
        <v>11</v>
      </c>
      <c r="E291">
        <v>67</v>
      </c>
      <c r="F291" s="6">
        <v>3500</v>
      </c>
      <c r="G291" s="6">
        <v>2500</v>
      </c>
      <c r="H291" s="6">
        <v>234500</v>
      </c>
      <c r="I291" s="5">
        <f t="shared" si="4"/>
        <v>67000</v>
      </c>
    </row>
    <row r="292" spans="1:9" x14ac:dyDescent="0.3">
      <c r="A292" t="s">
        <v>279</v>
      </c>
      <c r="B292" t="s">
        <v>20</v>
      </c>
      <c r="C292" t="s">
        <v>10</v>
      </c>
      <c r="D292" t="s">
        <v>31</v>
      </c>
      <c r="E292">
        <v>80</v>
      </c>
      <c r="F292" s="6">
        <v>1000</v>
      </c>
      <c r="G292" s="6">
        <v>700</v>
      </c>
      <c r="H292" s="6">
        <v>80000</v>
      </c>
      <c r="I292" s="5">
        <f t="shared" si="4"/>
        <v>24000</v>
      </c>
    </row>
    <row r="293" spans="1:9" x14ac:dyDescent="0.3">
      <c r="A293" t="s">
        <v>280</v>
      </c>
      <c r="B293" t="s">
        <v>36</v>
      </c>
      <c r="C293" t="s">
        <v>10</v>
      </c>
      <c r="D293" t="s">
        <v>18</v>
      </c>
      <c r="E293">
        <v>140</v>
      </c>
      <c r="F293" s="6">
        <v>6000</v>
      </c>
      <c r="G293" s="6">
        <v>4000</v>
      </c>
      <c r="H293" s="6">
        <v>840000</v>
      </c>
      <c r="I293" s="5">
        <f t="shared" si="4"/>
        <v>280000</v>
      </c>
    </row>
    <row r="294" spans="1:9" x14ac:dyDescent="0.3">
      <c r="A294" t="s">
        <v>281</v>
      </c>
      <c r="B294" t="s">
        <v>23</v>
      </c>
      <c r="C294" t="s">
        <v>14</v>
      </c>
      <c r="D294" t="s">
        <v>24</v>
      </c>
      <c r="E294">
        <v>78</v>
      </c>
      <c r="F294" s="6">
        <v>1200</v>
      </c>
      <c r="G294" s="6">
        <v>800</v>
      </c>
      <c r="H294" s="6">
        <v>93600</v>
      </c>
      <c r="I294" s="5">
        <f t="shared" si="4"/>
        <v>31200</v>
      </c>
    </row>
    <row r="295" spans="1:9" x14ac:dyDescent="0.3">
      <c r="A295" t="s">
        <v>282</v>
      </c>
      <c r="B295" t="s">
        <v>58</v>
      </c>
      <c r="C295" t="s">
        <v>17</v>
      </c>
      <c r="D295" t="s">
        <v>15</v>
      </c>
      <c r="E295">
        <v>54</v>
      </c>
      <c r="F295" s="6">
        <v>4000</v>
      </c>
      <c r="G295" s="6">
        <v>3000</v>
      </c>
      <c r="H295" s="6">
        <v>216000</v>
      </c>
      <c r="I295" s="5">
        <f t="shared" si="4"/>
        <v>54000</v>
      </c>
    </row>
    <row r="296" spans="1:9" x14ac:dyDescent="0.3">
      <c r="A296" t="s">
        <v>210</v>
      </c>
      <c r="B296" t="s">
        <v>20</v>
      </c>
      <c r="C296" t="s">
        <v>14</v>
      </c>
      <c r="D296" t="s">
        <v>18</v>
      </c>
      <c r="E296">
        <v>119</v>
      </c>
      <c r="F296" s="6">
        <v>6000</v>
      </c>
      <c r="G296" s="6">
        <v>4000</v>
      </c>
      <c r="H296" s="6">
        <v>714000</v>
      </c>
      <c r="I296" s="5">
        <f t="shared" si="4"/>
        <v>238000</v>
      </c>
    </row>
    <row r="297" spans="1:9" x14ac:dyDescent="0.3">
      <c r="A297" t="s">
        <v>98</v>
      </c>
      <c r="B297" t="s">
        <v>20</v>
      </c>
      <c r="C297" t="s">
        <v>14</v>
      </c>
      <c r="D297" t="s">
        <v>11</v>
      </c>
      <c r="E297">
        <v>126</v>
      </c>
      <c r="F297" s="6">
        <v>3500</v>
      </c>
      <c r="G297" s="6">
        <v>2500</v>
      </c>
      <c r="H297" s="6">
        <v>441000</v>
      </c>
      <c r="I297" s="5">
        <f t="shared" si="4"/>
        <v>126000</v>
      </c>
    </row>
    <row r="298" spans="1:9" x14ac:dyDescent="0.3">
      <c r="A298" t="s">
        <v>157</v>
      </c>
      <c r="B298" t="s">
        <v>58</v>
      </c>
      <c r="C298" t="s">
        <v>17</v>
      </c>
      <c r="D298" t="s">
        <v>21</v>
      </c>
      <c r="E298">
        <v>109</v>
      </c>
      <c r="F298" s="6">
        <v>600</v>
      </c>
      <c r="G298" s="6">
        <v>400</v>
      </c>
      <c r="H298" s="6">
        <v>65400</v>
      </c>
      <c r="I298" s="5">
        <f t="shared" si="4"/>
        <v>21800</v>
      </c>
    </row>
    <row r="299" spans="1:9" x14ac:dyDescent="0.3">
      <c r="A299" t="s">
        <v>283</v>
      </c>
      <c r="B299" t="s">
        <v>58</v>
      </c>
      <c r="C299" t="s">
        <v>17</v>
      </c>
      <c r="D299" t="s">
        <v>18</v>
      </c>
      <c r="E299">
        <v>117</v>
      </c>
      <c r="F299" s="6">
        <v>6000</v>
      </c>
      <c r="G299" s="6">
        <v>4000</v>
      </c>
      <c r="H299" s="6">
        <v>702000</v>
      </c>
      <c r="I299" s="5">
        <f t="shared" si="4"/>
        <v>234000</v>
      </c>
    </row>
    <row r="300" spans="1:9" x14ac:dyDescent="0.3">
      <c r="A300" t="s">
        <v>284</v>
      </c>
      <c r="B300" t="s">
        <v>23</v>
      </c>
      <c r="C300" t="s">
        <v>26</v>
      </c>
      <c r="D300" t="s">
        <v>31</v>
      </c>
      <c r="E300">
        <v>126</v>
      </c>
      <c r="F300" s="6">
        <v>1000</v>
      </c>
      <c r="G300" s="6">
        <v>700</v>
      </c>
      <c r="H300" s="6">
        <v>126000</v>
      </c>
      <c r="I300" s="5">
        <f t="shared" si="4"/>
        <v>37800</v>
      </c>
    </row>
    <row r="301" spans="1:9" x14ac:dyDescent="0.3">
      <c r="A301" t="s">
        <v>285</v>
      </c>
      <c r="B301" t="s">
        <v>23</v>
      </c>
      <c r="C301" t="s">
        <v>17</v>
      </c>
      <c r="D301" t="s">
        <v>24</v>
      </c>
      <c r="E301">
        <v>86</v>
      </c>
      <c r="F301" s="6">
        <v>1200</v>
      </c>
      <c r="G301" s="6">
        <v>800</v>
      </c>
      <c r="H301" s="6">
        <v>103200</v>
      </c>
      <c r="I301" s="5">
        <f t="shared" si="4"/>
        <v>34400</v>
      </c>
    </row>
    <row r="302" spans="1:9" x14ac:dyDescent="0.3">
      <c r="A302" t="s">
        <v>286</v>
      </c>
      <c r="B302" t="s">
        <v>28</v>
      </c>
      <c r="C302" t="s">
        <v>17</v>
      </c>
      <c r="D302" t="s">
        <v>15</v>
      </c>
      <c r="E302">
        <v>112</v>
      </c>
      <c r="F302" s="6">
        <v>4000</v>
      </c>
      <c r="G302" s="6">
        <v>3000</v>
      </c>
      <c r="H302" s="6">
        <v>448000</v>
      </c>
      <c r="I302" s="5">
        <f t="shared" si="4"/>
        <v>112000</v>
      </c>
    </row>
    <row r="303" spans="1:9" x14ac:dyDescent="0.3">
      <c r="A303" t="s">
        <v>68</v>
      </c>
      <c r="B303" t="s">
        <v>23</v>
      </c>
      <c r="C303" t="s">
        <v>17</v>
      </c>
      <c r="D303" t="s">
        <v>21</v>
      </c>
      <c r="E303">
        <v>83</v>
      </c>
      <c r="F303" s="6">
        <v>600</v>
      </c>
      <c r="G303" s="6">
        <v>400</v>
      </c>
      <c r="H303" s="6">
        <v>49800</v>
      </c>
      <c r="I303" s="5">
        <f t="shared" si="4"/>
        <v>16600</v>
      </c>
    </row>
    <row r="304" spans="1:9" x14ac:dyDescent="0.3">
      <c r="A304" t="s">
        <v>287</v>
      </c>
      <c r="B304" t="s">
        <v>30</v>
      </c>
      <c r="C304" t="s">
        <v>26</v>
      </c>
      <c r="D304" t="s">
        <v>31</v>
      </c>
      <c r="E304">
        <v>106</v>
      </c>
      <c r="F304" s="6">
        <v>1000</v>
      </c>
      <c r="G304" s="6">
        <v>700</v>
      </c>
      <c r="H304" s="6">
        <v>106000</v>
      </c>
      <c r="I304" s="5">
        <f t="shared" si="4"/>
        <v>31800</v>
      </c>
    </row>
    <row r="305" spans="1:9" x14ac:dyDescent="0.3">
      <c r="A305" t="s">
        <v>288</v>
      </c>
      <c r="B305" t="s">
        <v>28</v>
      </c>
      <c r="C305" t="s">
        <v>14</v>
      </c>
      <c r="D305" t="s">
        <v>11</v>
      </c>
      <c r="E305">
        <v>51</v>
      </c>
      <c r="F305" s="6">
        <v>3500</v>
      </c>
      <c r="G305" s="6">
        <v>2500</v>
      </c>
      <c r="H305" s="6">
        <v>178500</v>
      </c>
      <c r="I305" s="5">
        <f t="shared" si="4"/>
        <v>51000</v>
      </c>
    </row>
    <row r="306" spans="1:9" x14ac:dyDescent="0.3">
      <c r="A306" t="s">
        <v>289</v>
      </c>
      <c r="B306" t="s">
        <v>43</v>
      </c>
      <c r="C306" t="s">
        <v>14</v>
      </c>
      <c r="D306" t="s">
        <v>18</v>
      </c>
      <c r="E306">
        <v>50</v>
      </c>
      <c r="F306" s="6">
        <v>6000</v>
      </c>
      <c r="G306" s="6">
        <v>4000</v>
      </c>
      <c r="H306" s="6">
        <v>300000</v>
      </c>
      <c r="I306" s="5">
        <f t="shared" si="4"/>
        <v>100000</v>
      </c>
    </row>
    <row r="307" spans="1:9" x14ac:dyDescent="0.3">
      <c r="A307" t="s">
        <v>35</v>
      </c>
      <c r="B307" t="s">
        <v>36</v>
      </c>
      <c r="C307" t="s">
        <v>14</v>
      </c>
      <c r="D307" t="s">
        <v>21</v>
      </c>
      <c r="E307">
        <v>90</v>
      </c>
      <c r="F307" s="6">
        <v>600</v>
      </c>
      <c r="G307" s="6">
        <v>400</v>
      </c>
      <c r="H307" s="6">
        <v>54000</v>
      </c>
      <c r="I307" s="5">
        <f t="shared" si="4"/>
        <v>18000</v>
      </c>
    </row>
    <row r="308" spans="1:9" x14ac:dyDescent="0.3">
      <c r="A308" t="s">
        <v>290</v>
      </c>
      <c r="B308" t="s">
        <v>36</v>
      </c>
      <c r="C308" t="s">
        <v>17</v>
      </c>
      <c r="D308" t="s">
        <v>21</v>
      </c>
      <c r="E308">
        <v>121</v>
      </c>
      <c r="F308" s="6">
        <v>600</v>
      </c>
      <c r="G308" s="6">
        <v>400</v>
      </c>
      <c r="H308" s="6">
        <v>72600</v>
      </c>
      <c r="I308" s="5">
        <f t="shared" si="4"/>
        <v>24200</v>
      </c>
    </row>
    <row r="309" spans="1:9" x14ac:dyDescent="0.3">
      <c r="A309" t="s">
        <v>291</v>
      </c>
      <c r="B309" t="s">
        <v>43</v>
      </c>
      <c r="C309" t="s">
        <v>14</v>
      </c>
      <c r="D309" t="s">
        <v>18</v>
      </c>
      <c r="E309">
        <v>136</v>
      </c>
      <c r="F309" s="6">
        <v>6000</v>
      </c>
      <c r="G309" s="6">
        <v>4000</v>
      </c>
      <c r="H309" s="6">
        <v>816000</v>
      </c>
      <c r="I309" s="5">
        <f t="shared" si="4"/>
        <v>272000</v>
      </c>
    </row>
    <row r="310" spans="1:9" x14ac:dyDescent="0.3">
      <c r="A310" t="s">
        <v>255</v>
      </c>
      <c r="B310" t="s">
        <v>30</v>
      </c>
      <c r="C310" t="s">
        <v>10</v>
      </c>
      <c r="D310" t="s">
        <v>11</v>
      </c>
      <c r="E310">
        <v>89</v>
      </c>
      <c r="F310" s="6">
        <v>3500</v>
      </c>
      <c r="G310" s="6">
        <v>2500</v>
      </c>
      <c r="H310" s="6">
        <v>311500</v>
      </c>
      <c r="I310" s="5">
        <f t="shared" si="4"/>
        <v>89000</v>
      </c>
    </row>
    <row r="311" spans="1:9" x14ac:dyDescent="0.3">
      <c r="A311" t="s">
        <v>292</v>
      </c>
      <c r="B311" t="s">
        <v>23</v>
      </c>
      <c r="C311" t="s">
        <v>26</v>
      </c>
      <c r="D311" t="s">
        <v>34</v>
      </c>
      <c r="E311">
        <v>56</v>
      </c>
      <c r="F311" s="6">
        <v>10000</v>
      </c>
      <c r="G311" s="6">
        <v>7000</v>
      </c>
      <c r="H311" s="6">
        <v>560000</v>
      </c>
      <c r="I311" s="5">
        <f t="shared" si="4"/>
        <v>168000</v>
      </c>
    </row>
    <row r="312" spans="1:9" x14ac:dyDescent="0.3">
      <c r="A312" t="s">
        <v>293</v>
      </c>
      <c r="B312" t="s">
        <v>13</v>
      </c>
      <c r="C312" t="s">
        <v>26</v>
      </c>
      <c r="D312" t="s">
        <v>34</v>
      </c>
      <c r="E312">
        <v>54</v>
      </c>
      <c r="F312" s="6">
        <v>10000</v>
      </c>
      <c r="G312" s="6">
        <v>7000</v>
      </c>
      <c r="H312" s="6">
        <v>540000</v>
      </c>
      <c r="I312" s="5">
        <f t="shared" si="4"/>
        <v>162000</v>
      </c>
    </row>
    <row r="313" spans="1:9" x14ac:dyDescent="0.3">
      <c r="A313" t="s">
        <v>294</v>
      </c>
      <c r="B313" t="s">
        <v>28</v>
      </c>
      <c r="C313" t="s">
        <v>14</v>
      </c>
      <c r="D313" t="s">
        <v>18</v>
      </c>
      <c r="E313">
        <v>99</v>
      </c>
      <c r="F313" s="6">
        <v>6000</v>
      </c>
      <c r="G313" s="6">
        <v>4000</v>
      </c>
      <c r="H313" s="6">
        <v>594000</v>
      </c>
      <c r="I313" s="5">
        <f t="shared" si="4"/>
        <v>198000</v>
      </c>
    </row>
    <row r="314" spans="1:9" x14ac:dyDescent="0.3">
      <c r="A314" t="s">
        <v>68</v>
      </c>
      <c r="B314" t="s">
        <v>43</v>
      </c>
      <c r="C314" t="s">
        <v>10</v>
      </c>
      <c r="D314" t="s">
        <v>11</v>
      </c>
      <c r="E314">
        <v>53</v>
      </c>
      <c r="F314" s="6">
        <v>3500</v>
      </c>
      <c r="G314" s="6">
        <v>2500</v>
      </c>
      <c r="H314" s="6">
        <v>185500</v>
      </c>
      <c r="I314" s="5">
        <f t="shared" si="4"/>
        <v>53000</v>
      </c>
    </row>
    <row r="315" spans="1:9" x14ac:dyDescent="0.3">
      <c r="A315" t="s">
        <v>295</v>
      </c>
      <c r="B315" t="s">
        <v>40</v>
      </c>
      <c r="C315" t="s">
        <v>17</v>
      </c>
      <c r="D315" t="s">
        <v>15</v>
      </c>
      <c r="E315">
        <v>140</v>
      </c>
      <c r="F315" s="6">
        <v>4000</v>
      </c>
      <c r="G315" s="6">
        <v>3000</v>
      </c>
      <c r="H315" s="6">
        <v>560000</v>
      </c>
      <c r="I315" s="5">
        <f t="shared" si="4"/>
        <v>140000</v>
      </c>
    </row>
    <row r="316" spans="1:9" x14ac:dyDescent="0.3">
      <c r="A316" t="s">
        <v>49</v>
      </c>
      <c r="B316" t="s">
        <v>28</v>
      </c>
      <c r="C316" t="s">
        <v>17</v>
      </c>
      <c r="D316" t="s">
        <v>24</v>
      </c>
      <c r="E316">
        <v>108</v>
      </c>
      <c r="F316" s="6">
        <v>1200</v>
      </c>
      <c r="G316" s="6">
        <v>800</v>
      </c>
      <c r="H316" s="6">
        <v>129600</v>
      </c>
      <c r="I316" s="5">
        <f t="shared" si="4"/>
        <v>43200</v>
      </c>
    </row>
    <row r="317" spans="1:9" x14ac:dyDescent="0.3">
      <c r="A317" t="s">
        <v>296</v>
      </c>
      <c r="B317" t="s">
        <v>58</v>
      </c>
      <c r="C317" t="s">
        <v>10</v>
      </c>
      <c r="D317" t="s">
        <v>21</v>
      </c>
      <c r="E317">
        <v>65</v>
      </c>
      <c r="F317" s="6">
        <v>600</v>
      </c>
      <c r="G317" s="6">
        <v>400</v>
      </c>
      <c r="H317" s="6">
        <v>39000</v>
      </c>
      <c r="I317" s="5">
        <f t="shared" si="4"/>
        <v>13000</v>
      </c>
    </row>
    <row r="318" spans="1:9" x14ac:dyDescent="0.3">
      <c r="A318" t="s">
        <v>74</v>
      </c>
      <c r="B318" t="s">
        <v>43</v>
      </c>
      <c r="C318" t="s">
        <v>14</v>
      </c>
      <c r="D318" t="s">
        <v>21</v>
      </c>
      <c r="E318">
        <v>146</v>
      </c>
      <c r="F318" s="6">
        <v>600</v>
      </c>
      <c r="G318" s="6">
        <v>400</v>
      </c>
      <c r="H318" s="6">
        <v>87600</v>
      </c>
      <c r="I318" s="5">
        <f t="shared" si="4"/>
        <v>29200</v>
      </c>
    </row>
    <row r="319" spans="1:9" x14ac:dyDescent="0.3">
      <c r="A319" t="s">
        <v>297</v>
      </c>
      <c r="B319" t="s">
        <v>28</v>
      </c>
      <c r="C319" t="s">
        <v>14</v>
      </c>
      <c r="D319" t="s">
        <v>31</v>
      </c>
      <c r="E319">
        <v>53</v>
      </c>
      <c r="F319" s="6">
        <v>1000</v>
      </c>
      <c r="G319" s="6">
        <v>700</v>
      </c>
      <c r="H319" s="6">
        <v>53000</v>
      </c>
      <c r="I319" s="5">
        <f t="shared" si="4"/>
        <v>15900</v>
      </c>
    </row>
    <row r="320" spans="1:9" x14ac:dyDescent="0.3">
      <c r="A320" t="s">
        <v>82</v>
      </c>
      <c r="B320" t="s">
        <v>9</v>
      </c>
      <c r="C320" t="s">
        <v>14</v>
      </c>
      <c r="D320" t="s">
        <v>21</v>
      </c>
      <c r="E320">
        <v>99</v>
      </c>
      <c r="F320" s="6">
        <v>600</v>
      </c>
      <c r="G320" s="6">
        <v>400</v>
      </c>
      <c r="H320" s="6">
        <v>59400</v>
      </c>
      <c r="I320" s="5">
        <f t="shared" si="4"/>
        <v>19800</v>
      </c>
    </row>
    <row r="321" spans="1:9" x14ac:dyDescent="0.3">
      <c r="A321" t="s">
        <v>298</v>
      </c>
      <c r="B321" t="s">
        <v>20</v>
      </c>
      <c r="C321" t="s">
        <v>26</v>
      </c>
      <c r="D321" t="s">
        <v>34</v>
      </c>
      <c r="E321">
        <v>86</v>
      </c>
      <c r="F321" s="6">
        <v>10000</v>
      </c>
      <c r="G321" s="6">
        <v>7000</v>
      </c>
      <c r="H321" s="6">
        <v>860000</v>
      </c>
      <c r="I321" s="5">
        <f t="shared" si="4"/>
        <v>258000</v>
      </c>
    </row>
    <row r="322" spans="1:9" x14ac:dyDescent="0.3">
      <c r="A322" t="s">
        <v>299</v>
      </c>
      <c r="B322" t="s">
        <v>20</v>
      </c>
      <c r="C322" t="s">
        <v>26</v>
      </c>
      <c r="D322" t="s">
        <v>11</v>
      </c>
      <c r="E322">
        <v>79</v>
      </c>
      <c r="F322" s="6">
        <v>3500</v>
      </c>
      <c r="G322" s="6">
        <v>2500</v>
      </c>
      <c r="H322" s="6">
        <v>276500</v>
      </c>
      <c r="I322" s="5">
        <f t="shared" ref="I322:I385" si="5">H322-(G322*E322)</f>
        <v>79000</v>
      </c>
    </row>
    <row r="323" spans="1:9" x14ac:dyDescent="0.3">
      <c r="A323" t="s">
        <v>284</v>
      </c>
      <c r="B323" t="s">
        <v>13</v>
      </c>
      <c r="C323" t="s">
        <v>10</v>
      </c>
      <c r="D323" t="s">
        <v>31</v>
      </c>
      <c r="E323">
        <v>104</v>
      </c>
      <c r="F323" s="6">
        <v>1000</v>
      </c>
      <c r="G323" s="6">
        <v>700</v>
      </c>
      <c r="H323" s="6">
        <v>104000</v>
      </c>
      <c r="I323" s="5">
        <f t="shared" si="5"/>
        <v>31200</v>
      </c>
    </row>
    <row r="324" spans="1:9" x14ac:dyDescent="0.3">
      <c r="A324" t="s">
        <v>111</v>
      </c>
      <c r="B324" t="s">
        <v>13</v>
      </c>
      <c r="C324" t="s">
        <v>10</v>
      </c>
      <c r="D324" t="s">
        <v>31</v>
      </c>
      <c r="E324">
        <v>108</v>
      </c>
      <c r="F324" s="6">
        <v>1000</v>
      </c>
      <c r="G324" s="6">
        <v>700</v>
      </c>
      <c r="H324" s="6">
        <v>108000</v>
      </c>
      <c r="I324" s="5">
        <f t="shared" si="5"/>
        <v>32400</v>
      </c>
    </row>
    <row r="325" spans="1:9" x14ac:dyDescent="0.3">
      <c r="A325" t="s">
        <v>300</v>
      </c>
      <c r="B325" t="s">
        <v>58</v>
      </c>
      <c r="C325" t="s">
        <v>26</v>
      </c>
      <c r="D325" t="s">
        <v>11</v>
      </c>
      <c r="E325">
        <v>60</v>
      </c>
      <c r="F325" s="6">
        <v>3500</v>
      </c>
      <c r="G325" s="6">
        <v>2500</v>
      </c>
      <c r="H325" s="6">
        <v>210000</v>
      </c>
      <c r="I325" s="5">
        <f t="shared" si="5"/>
        <v>60000</v>
      </c>
    </row>
    <row r="326" spans="1:9" x14ac:dyDescent="0.3">
      <c r="A326" t="s">
        <v>264</v>
      </c>
      <c r="B326" t="s">
        <v>40</v>
      </c>
      <c r="C326" t="s">
        <v>14</v>
      </c>
      <c r="D326" t="s">
        <v>21</v>
      </c>
      <c r="E326">
        <v>90</v>
      </c>
      <c r="F326" s="6">
        <v>600</v>
      </c>
      <c r="G326" s="6">
        <v>400</v>
      </c>
      <c r="H326" s="6">
        <v>54000</v>
      </c>
      <c r="I326" s="5">
        <f t="shared" si="5"/>
        <v>18000</v>
      </c>
    </row>
    <row r="327" spans="1:9" x14ac:dyDescent="0.3">
      <c r="A327" t="s">
        <v>147</v>
      </c>
      <c r="B327" t="s">
        <v>36</v>
      </c>
      <c r="C327" t="s">
        <v>14</v>
      </c>
      <c r="D327" t="s">
        <v>11</v>
      </c>
      <c r="E327">
        <v>121</v>
      </c>
      <c r="F327" s="6">
        <v>3500</v>
      </c>
      <c r="G327" s="6">
        <v>2500</v>
      </c>
      <c r="H327" s="6">
        <v>423500</v>
      </c>
      <c r="I327" s="5">
        <f t="shared" si="5"/>
        <v>121000</v>
      </c>
    </row>
    <row r="328" spans="1:9" x14ac:dyDescent="0.3">
      <c r="A328" t="s">
        <v>48</v>
      </c>
      <c r="B328" t="s">
        <v>40</v>
      </c>
      <c r="C328" t="s">
        <v>26</v>
      </c>
      <c r="D328" t="s">
        <v>21</v>
      </c>
      <c r="E328">
        <v>119</v>
      </c>
      <c r="F328" s="6">
        <v>600</v>
      </c>
      <c r="G328" s="6">
        <v>400</v>
      </c>
      <c r="H328" s="6">
        <v>71400</v>
      </c>
      <c r="I328" s="5">
        <f t="shared" si="5"/>
        <v>23800</v>
      </c>
    </row>
    <row r="329" spans="1:9" x14ac:dyDescent="0.3">
      <c r="A329" t="s">
        <v>301</v>
      </c>
      <c r="B329" t="s">
        <v>20</v>
      </c>
      <c r="C329" t="s">
        <v>26</v>
      </c>
      <c r="D329" t="s">
        <v>24</v>
      </c>
      <c r="E329">
        <v>124</v>
      </c>
      <c r="F329" s="6">
        <v>1200</v>
      </c>
      <c r="G329" s="6">
        <v>800</v>
      </c>
      <c r="H329" s="6">
        <v>148800</v>
      </c>
      <c r="I329" s="5">
        <f t="shared" si="5"/>
        <v>49600</v>
      </c>
    </row>
    <row r="330" spans="1:9" x14ac:dyDescent="0.3">
      <c r="A330" t="s">
        <v>302</v>
      </c>
      <c r="B330" t="s">
        <v>28</v>
      </c>
      <c r="C330" t="s">
        <v>26</v>
      </c>
      <c r="D330" t="s">
        <v>34</v>
      </c>
      <c r="E330">
        <v>133</v>
      </c>
      <c r="F330" s="6">
        <v>10000</v>
      </c>
      <c r="G330" s="6">
        <v>7000</v>
      </c>
      <c r="H330" s="6">
        <v>1330000</v>
      </c>
      <c r="I330" s="5">
        <f t="shared" si="5"/>
        <v>399000</v>
      </c>
    </row>
    <row r="331" spans="1:9" x14ac:dyDescent="0.3">
      <c r="A331" t="s">
        <v>171</v>
      </c>
      <c r="B331" t="s">
        <v>23</v>
      </c>
      <c r="C331" t="s">
        <v>17</v>
      </c>
      <c r="D331" t="s">
        <v>11</v>
      </c>
      <c r="E331">
        <v>50</v>
      </c>
      <c r="F331" s="6">
        <v>3500</v>
      </c>
      <c r="G331" s="6">
        <v>2500</v>
      </c>
      <c r="H331" s="6">
        <v>175000</v>
      </c>
      <c r="I331" s="5">
        <f t="shared" si="5"/>
        <v>50000</v>
      </c>
    </row>
    <row r="332" spans="1:9" x14ac:dyDescent="0.3">
      <c r="A332" t="s">
        <v>303</v>
      </c>
      <c r="B332" t="s">
        <v>36</v>
      </c>
      <c r="C332" t="s">
        <v>14</v>
      </c>
      <c r="D332" t="s">
        <v>11</v>
      </c>
      <c r="E332">
        <v>132</v>
      </c>
      <c r="F332" s="6">
        <v>3500</v>
      </c>
      <c r="G332" s="6">
        <v>2500</v>
      </c>
      <c r="H332" s="6">
        <v>462000</v>
      </c>
      <c r="I332" s="5">
        <f t="shared" si="5"/>
        <v>132000</v>
      </c>
    </row>
    <row r="333" spans="1:9" x14ac:dyDescent="0.3">
      <c r="A333" t="s">
        <v>304</v>
      </c>
      <c r="B333" t="s">
        <v>36</v>
      </c>
      <c r="C333" t="s">
        <v>26</v>
      </c>
      <c r="D333" t="s">
        <v>24</v>
      </c>
      <c r="E333">
        <v>64</v>
      </c>
      <c r="F333" s="6">
        <v>1200</v>
      </c>
      <c r="G333" s="6">
        <v>800</v>
      </c>
      <c r="H333" s="6">
        <v>76800</v>
      </c>
      <c r="I333" s="5">
        <f t="shared" si="5"/>
        <v>25600</v>
      </c>
    </row>
    <row r="334" spans="1:9" x14ac:dyDescent="0.3">
      <c r="A334" t="s">
        <v>305</v>
      </c>
      <c r="B334" t="s">
        <v>23</v>
      </c>
      <c r="C334" t="s">
        <v>26</v>
      </c>
      <c r="D334" t="s">
        <v>11</v>
      </c>
      <c r="E334">
        <v>67</v>
      </c>
      <c r="F334" s="6">
        <v>3500</v>
      </c>
      <c r="G334" s="6">
        <v>2500</v>
      </c>
      <c r="H334" s="6">
        <v>234500</v>
      </c>
      <c r="I334" s="5">
        <f t="shared" si="5"/>
        <v>67000</v>
      </c>
    </row>
    <row r="335" spans="1:9" x14ac:dyDescent="0.3">
      <c r="A335" t="s">
        <v>111</v>
      </c>
      <c r="B335" t="s">
        <v>20</v>
      </c>
      <c r="C335" t="s">
        <v>17</v>
      </c>
      <c r="D335" t="s">
        <v>31</v>
      </c>
      <c r="E335">
        <v>140</v>
      </c>
      <c r="F335" s="6">
        <v>1000</v>
      </c>
      <c r="G335" s="6">
        <v>700</v>
      </c>
      <c r="H335" s="6">
        <v>140000</v>
      </c>
      <c r="I335" s="5">
        <f t="shared" si="5"/>
        <v>42000</v>
      </c>
    </row>
    <row r="336" spans="1:9" x14ac:dyDescent="0.3">
      <c r="A336" t="s">
        <v>231</v>
      </c>
      <c r="B336" t="s">
        <v>40</v>
      </c>
      <c r="C336" t="s">
        <v>10</v>
      </c>
      <c r="D336" t="s">
        <v>34</v>
      </c>
      <c r="E336">
        <v>108</v>
      </c>
      <c r="F336" s="6">
        <v>10000</v>
      </c>
      <c r="G336" s="6">
        <v>7000</v>
      </c>
      <c r="H336" s="6">
        <v>1080000</v>
      </c>
      <c r="I336" s="5">
        <f t="shared" si="5"/>
        <v>324000</v>
      </c>
    </row>
    <row r="337" spans="1:9" x14ac:dyDescent="0.3">
      <c r="A337" t="s">
        <v>306</v>
      </c>
      <c r="B337" t="s">
        <v>20</v>
      </c>
      <c r="C337" t="s">
        <v>10</v>
      </c>
      <c r="D337" t="s">
        <v>31</v>
      </c>
      <c r="E337">
        <v>70</v>
      </c>
      <c r="F337" s="6">
        <v>1000</v>
      </c>
      <c r="G337" s="6">
        <v>700</v>
      </c>
      <c r="H337" s="6">
        <v>70000</v>
      </c>
      <c r="I337" s="5">
        <f t="shared" si="5"/>
        <v>21000</v>
      </c>
    </row>
    <row r="338" spans="1:9" x14ac:dyDescent="0.3">
      <c r="A338" t="s">
        <v>116</v>
      </c>
      <c r="B338" t="s">
        <v>28</v>
      </c>
      <c r="C338" t="s">
        <v>17</v>
      </c>
      <c r="D338" t="s">
        <v>31</v>
      </c>
      <c r="E338">
        <v>100</v>
      </c>
      <c r="F338" s="6">
        <v>1000</v>
      </c>
      <c r="G338" s="6">
        <v>700</v>
      </c>
      <c r="H338" s="6">
        <v>100000</v>
      </c>
      <c r="I338" s="5">
        <f t="shared" si="5"/>
        <v>30000</v>
      </c>
    </row>
    <row r="339" spans="1:9" x14ac:dyDescent="0.3">
      <c r="A339" t="s">
        <v>307</v>
      </c>
      <c r="B339" t="s">
        <v>36</v>
      </c>
      <c r="C339" t="s">
        <v>10</v>
      </c>
      <c r="D339" t="s">
        <v>24</v>
      </c>
      <c r="E339">
        <v>128</v>
      </c>
      <c r="F339" s="6">
        <v>1200</v>
      </c>
      <c r="G339" s="6">
        <v>800</v>
      </c>
      <c r="H339" s="6">
        <v>153600</v>
      </c>
      <c r="I339" s="5">
        <f t="shared" si="5"/>
        <v>51200</v>
      </c>
    </row>
    <row r="340" spans="1:9" x14ac:dyDescent="0.3">
      <c r="A340" t="s">
        <v>203</v>
      </c>
      <c r="B340" t="s">
        <v>23</v>
      </c>
      <c r="C340" t="s">
        <v>10</v>
      </c>
      <c r="D340" t="s">
        <v>21</v>
      </c>
      <c r="E340">
        <v>121</v>
      </c>
      <c r="F340" s="6">
        <v>600</v>
      </c>
      <c r="G340" s="6">
        <v>400</v>
      </c>
      <c r="H340" s="6">
        <v>72600</v>
      </c>
      <c r="I340" s="5">
        <f t="shared" si="5"/>
        <v>24200</v>
      </c>
    </row>
    <row r="341" spans="1:9" x14ac:dyDescent="0.3">
      <c r="A341" t="s">
        <v>308</v>
      </c>
      <c r="B341" t="s">
        <v>28</v>
      </c>
      <c r="C341" t="s">
        <v>14</v>
      </c>
      <c r="D341" t="s">
        <v>31</v>
      </c>
      <c r="E341">
        <v>115</v>
      </c>
      <c r="F341" s="6">
        <v>1000</v>
      </c>
      <c r="G341" s="6">
        <v>700</v>
      </c>
      <c r="H341" s="6">
        <v>115000</v>
      </c>
      <c r="I341" s="5">
        <f t="shared" si="5"/>
        <v>34500</v>
      </c>
    </row>
    <row r="342" spans="1:9" x14ac:dyDescent="0.3">
      <c r="A342" t="s">
        <v>309</v>
      </c>
      <c r="B342" t="s">
        <v>30</v>
      </c>
      <c r="C342" t="s">
        <v>17</v>
      </c>
      <c r="D342" t="s">
        <v>11</v>
      </c>
      <c r="E342">
        <v>67</v>
      </c>
      <c r="F342" s="6">
        <v>3500</v>
      </c>
      <c r="G342" s="6">
        <v>2500</v>
      </c>
      <c r="H342" s="6">
        <v>234500</v>
      </c>
      <c r="I342" s="5">
        <f t="shared" si="5"/>
        <v>67000</v>
      </c>
    </row>
    <row r="343" spans="1:9" x14ac:dyDescent="0.3">
      <c r="A343" t="s">
        <v>301</v>
      </c>
      <c r="B343" t="s">
        <v>9</v>
      </c>
      <c r="C343" t="s">
        <v>17</v>
      </c>
      <c r="D343" t="s">
        <v>18</v>
      </c>
      <c r="E343">
        <v>138</v>
      </c>
      <c r="F343" s="6">
        <v>6000</v>
      </c>
      <c r="G343" s="6">
        <v>4000</v>
      </c>
      <c r="H343" s="6">
        <v>828000</v>
      </c>
      <c r="I343" s="5">
        <f t="shared" si="5"/>
        <v>276000</v>
      </c>
    </row>
    <row r="344" spans="1:9" x14ac:dyDescent="0.3">
      <c r="A344" t="s">
        <v>166</v>
      </c>
      <c r="B344" t="s">
        <v>30</v>
      </c>
      <c r="C344" t="s">
        <v>17</v>
      </c>
      <c r="D344" t="s">
        <v>31</v>
      </c>
      <c r="E344">
        <v>70</v>
      </c>
      <c r="F344" s="6">
        <v>1000</v>
      </c>
      <c r="G344" s="6">
        <v>700</v>
      </c>
      <c r="H344" s="6">
        <v>70000</v>
      </c>
      <c r="I344" s="5">
        <f t="shared" si="5"/>
        <v>21000</v>
      </c>
    </row>
    <row r="345" spans="1:9" x14ac:dyDescent="0.3">
      <c r="A345" t="s">
        <v>289</v>
      </c>
      <c r="B345" t="s">
        <v>23</v>
      </c>
      <c r="C345" t="s">
        <v>10</v>
      </c>
      <c r="D345" t="s">
        <v>34</v>
      </c>
      <c r="E345">
        <v>68</v>
      </c>
      <c r="F345" s="6">
        <v>10000</v>
      </c>
      <c r="G345" s="6">
        <v>7000</v>
      </c>
      <c r="H345" s="6">
        <v>680000</v>
      </c>
      <c r="I345" s="5">
        <f t="shared" si="5"/>
        <v>204000</v>
      </c>
    </row>
    <row r="346" spans="1:9" x14ac:dyDescent="0.3">
      <c r="A346" t="s">
        <v>310</v>
      </c>
      <c r="B346" t="s">
        <v>13</v>
      </c>
      <c r="C346" t="s">
        <v>14</v>
      </c>
      <c r="D346" t="s">
        <v>34</v>
      </c>
      <c r="E346">
        <v>52</v>
      </c>
      <c r="F346" s="6">
        <v>10000</v>
      </c>
      <c r="G346" s="6">
        <v>7000</v>
      </c>
      <c r="H346" s="6">
        <v>520000</v>
      </c>
      <c r="I346" s="5">
        <f t="shared" si="5"/>
        <v>156000</v>
      </c>
    </row>
    <row r="347" spans="1:9" x14ac:dyDescent="0.3">
      <c r="A347" t="s">
        <v>180</v>
      </c>
      <c r="B347" t="s">
        <v>23</v>
      </c>
      <c r="C347" t="s">
        <v>10</v>
      </c>
      <c r="D347" t="s">
        <v>21</v>
      </c>
      <c r="E347">
        <v>122</v>
      </c>
      <c r="F347" s="6">
        <v>600</v>
      </c>
      <c r="G347" s="6">
        <v>400</v>
      </c>
      <c r="H347" s="6">
        <v>73200</v>
      </c>
      <c r="I347" s="5">
        <f t="shared" si="5"/>
        <v>24400</v>
      </c>
    </row>
    <row r="348" spans="1:9" x14ac:dyDescent="0.3">
      <c r="A348" t="s">
        <v>311</v>
      </c>
      <c r="B348" t="s">
        <v>28</v>
      </c>
      <c r="C348" t="s">
        <v>10</v>
      </c>
      <c r="D348" t="s">
        <v>18</v>
      </c>
      <c r="E348">
        <v>130</v>
      </c>
      <c r="F348" s="6">
        <v>6000</v>
      </c>
      <c r="G348" s="6">
        <v>4000</v>
      </c>
      <c r="H348" s="6">
        <v>780000</v>
      </c>
      <c r="I348" s="5">
        <f t="shared" si="5"/>
        <v>260000</v>
      </c>
    </row>
    <row r="349" spans="1:9" x14ac:dyDescent="0.3">
      <c r="A349" t="s">
        <v>206</v>
      </c>
      <c r="B349" t="s">
        <v>30</v>
      </c>
      <c r="C349" t="s">
        <v>14</v>
      </c>
      <c r="D349" t="s">
        <v>21</v>
      </c>
      <c r="E349">
        <v>83</v>
      </c>
      <c r="F349" s="6">
        <v>600</v>
      </c>
      <c r="G349" s="6">
        <v>400</v>
      </c>
      <c r="H349" s="6">
        <v>49800</v>
      </c>
      <c r="I349" s="5">
        <f t="shared" si="5"/>
        <v>16600</v>
      </c>
    </row>
    <row r="350" spans="1:9" x14ac:dyDescent="0.3">
      <c r="A350" t="s">
        <v>103</v>
      </c>
      <c r="B350" t="s">
        <v>58</v>
      </c>
      <c r="C350" t="s">
        <v>14</v>
      </c>
      <c r="D350" t="s">
        <v>31</v>
      </c>
      <c r="E350">
        <v>64</v>
      </c>
      <c r="F350" s="6">
        <v>1000</v>
      </c>
      <c r="G350" s="6">
        <v>700</v>
      </c>
      <c r="H350" s="6">
        <v>64000</v>
      </c>
      <c r="I350" s="5">
        <f t="shared" si="5"/>
        <v>19200</v>
      </c>
    </row>
    <row r="351" spans="1:9" x14ac:dyDescent="0.3">
      <c r="A351" t="s">
        <v>312</v>
      </c>
      <c r="B351" t="s">
        <v>58</v>
      </c>
      <c r="C351" t="s">
        <v>10</v>
      </c>
      <c r="D351" t="s">
        <v>21</v>
      </c>
      <c r="E351">
        <v>52</v>
      </c>
      <c r="F351" s="6">
        <v>600</v>
      </c>
      <c r="G351" s="6">
        <v>400</v>
      </c>
      <c r="H351" s="6">
        <v>31200</v>
      </c>
      <c r="I351" s="5">
        <f t="shared" si="5"/>
        <v>10400</v>
      </c>
    </row>
    <row r="352" spans="1:9" x14ac:dyDescent="0.3">
      <c r="A352" t="s">
        <v>70</v>
      </c>
      <c r="B352" t="s">
        <v>13</v>
      </c>
      <c r="C352" t="s">
        <v>10</v>
      </c>
      <c r="D352" t="s">
        <v>21</v>
      </c>
      <c r="E352">
        <v>120</v>
      </c>
      <c r="F352" s="6">
        <v>600</v>
      </c>
      <c r="G352" s="6">
        <v>400</v>
      </c>
      <c r="H352" s="6">
        <v>72000</v>
      </c>
      <c r="I352" s="5">
        <f t="shared" si="5"/>
        <v>24000</v>
      </c>
    </row>
    <row r="353" spans="1:9" x14ac:dyDescent="0.3">
      <c r="A353" t="s">
        <v>66</v>
      </c>
      <c r="B353" t="s">
        <v>13</v>
      </c>
      <c r="C353" t="s">
        <v>10</v>
      </c>
      <c r="D353" t="s">
        <v>11</v>
      </c>
      <c r="E353">
        <v>51</v>
      </c>
      <c r="F353" s="6">
        <v>3500</v>
      </c>
      <c r="G353" s="6">
        <v>2500</v>
      </c>
      <c r="H353" s="6">
        <v>178500</v>
      </c>
      <c r="I353" s="5">
        <f t="shared" si="5"/>
        <v>51000</v>
      </c>
    </row>
    <row r="354" spans="1:9" x14ac:dyDescent="0.3">
      <c r="A354" t="s">
        <v>313</v>
      </c>
      <c r="B354" t="s">
        <v>23</v>
      </c>
      <c r="C354" t="s">
        <v>26</v>
      </c>
      <c r="D354" t="s">
        <v>11</v>
      </c>
      <c r="E354">
        <v>146</v>
      </c>
      <c r="F354" s="6">
        <v>3500</v>
      </c>
      <c r="G354" s="6">
        <v>2500</v>
      </c>
      <c r="H354" s="6">
        <v>511000</v>
      </c>
      <c r="I354" s="5">
        <f t="shared" si="5"/>
        <v>146000</v>
      </c>
    </row>
    <row r="355" spans="1:9" x14ac:dyDescent="0.3">
      <c r="A355" t="s">
        <v>264</v>
      </c>
      <c r="B355" t="s">
        <v>20</v>
      </c>
      <c r="C355" t="s">
        <v>17</v>
      </c>
      <c r="D355" t="s">
        <v>21</v>
      </c>
      <c r="E355">
        <v>148</v>
      </c>
      <c r="F355" s="6">
        <v>600</v>
      </c>
      <c r="G355" s="6">
        <v>400</v>
      </c>
      <c r="H355" s="6">
        <v>88800</v>
      </c>
      <c r="I355" s="5">
        <f t="shared" si="5"/>
        <v>29600</v>
      </c>
    </row>
    <row r="356" spans="1:9" x14ac:dyDescent="0.3">
      <c r="A356" t="s">
        <v>252</v>
      </c>
      <c r="B356" t="s">
        <v>43</v>
      </c>
      <c r="C356" t="s">
        <v>26</v>
      </c>
      <c r="D356" t="s">
        <v>11</v>
      </c>
      <c r="E356">
        <v>105</v>
      </c>
      <c r="F356" s="6">
        <v>3500</v>
      </c>
      <c r="G356" s="6">
        <v>2500</v>
      </c>
      <c r="H356" s="6">
        <v>367500</v>
      </c>
      <c r="I356" s="5">
        <f t="shared" si="5"/>
        <v>105000</v>
      </c>
    </row>
    <row r="357" spans="1:9" x14ac:dyDescent="0.3">
      <c r="A357" t="s">
        <v>224</v>
      </c>
      <c r="B357" t="s">
        <v>9</v>
      </c>
      <c r="C357" t="s">
        <v>14</v>
      </c>
      <c r="D357" t="s">
        <v>15</v>
      </c>
      <c r="E357">
        <v>119</v>
      </c>
      <c r="F357" s="6">
        <v>4000</v>
      </c>
      <c r="G357" s="6">
        <v>3000</v>
      </c>
      <c r="H357" s="6">
        <v>476000</v>
      </c>
      <c r="I357" s="5">
        <f t="shared" si="5"/>
        <v>119000</v>
      </c>
    </row>
    <row r="358" spans="1:9" x14ac:dyDescent="0.3">
      <c r="A358" t="s">
        <v>314</v>
      </c>
      <c r="B358" t="s">
        <v>13</v>
      </c>
      <c r="C358" t="s">
        <v>10</v>
      </c>
      <c r="D358" t="s">
        <v>15</v>
      </c>
      <c r="E358">
        <v>66</v>
      </c>
      <c r="F358" s="6">
        <v>4000</v>
      </c>
      <c r="G358" s="6">
        <v>3000</v>
      </c>
      <c r="H358" s="6">
        <v>264000</v>
      </c>
      <c r="I358" s="5">
        <f t="shared" si="5"/>
        <v>66000</v>
      </c>
    </row>
    <row r="359" spans="1:9" x14ac:dyDescent="0.3">
      <c r="A359" t="s">
        <v>159</v>
      </c>
      <c r="B359" t="s">
        <v>58</v>
      </c>
      <c r="C359" t="s">
        <v>14</v>
      </c>
      <c r="D359" t="s">
        <v>24</v>
      </c>
      <c r="E359">
        <v>149</v>
      </c>
      <c r="F359" s="6">
        <v>1200</v>
      </c>
      <c r="G359" s="6">
        <v>800</v>
      </c>
      <c r="H359" s="6">
        <v>178800</v>
      </c>
      <c r="I359" s="5">
        <f t="shared" si="5"/>
        <v>59600</v>
      </c>
    </row>
    <row r="360" spans="1:9" x14ac:dyDescent="0.3">
      <c r="A360" t="s">
        <v>315</v>
      </c>
      <c r="B360" t="s">
        <v>40</v>
      </c>
      <c r="C360" t="s">
        <v>10</v>
      </c>
      <c r="D360" t="s">
        <v>24</v>
      </c>
      <c r="E360">
        <v>91</v>
      </c>
      <c r="F360" s="6">
        <v>1200</v>
      </c>
      <c r="G360" s="6">
        <v>800</v>
      </c>
      <c r="H360" s="6">
        <v>109200</v>
      </c>
      <c r="I360" s="5">
        <f t="shared" si="5"/>
        <v>36400</v>
      </c>
    </row>
    <row r="361" spans="1:9" x14ac:dyDescent="0.3">
      <c r="A361" t="s">
        <v>316</v>
      </c>
      <c r="B361" t="s">
        <v>36</v>
      </c>
      <c r="C361" t="s">
        <v>14</v>
      </c>
      <c r="D361" t="s">
        <v>21</v>
      </c>
      <c r="E361">
        <v>88</v>
      </c>
      <c r="F361" s="6">
        <v>600</v>
      </c>
      <c r="G361" s="6">
        <v>400</v>
      </c>
      <c r="H361" s="6">
        <v>52800</v>
      </c>
      <c r="I361" s="5">
        <f t="shared" si="5"/>
        <v>17600</v>
      </c>
    </row>
    <row r="362" spans="1:9" x14ac:dyDescent="0.3">
      <c r="A362" t="s">
        <v>95</v>
      </c>
      <c r="B362" t="s">
        <v>36</v>
      </c>
      <c r="C362" t="s">
        <v>17</v>
      </c>
      <c r="D362" t="s">
        <v>18</v>
      </c>
      <c r="E362">
        <v>61</v>
      </c>
      <c r="F362" s="6">
        <v>6000</v>
      </c>
      <c r="G362" s="6">
        <v>4000</v>
      </c>
      <c r="H362" s="6">
        <v>366000</v>
      </c>
      <c r="I362" s="5">
        <f t="shared" si="5"/>
        <v>122000</v>
      </c>
    </row>
    <row r="363" spans="1:9" x14ac:dyDescent="0.3">
      <c r="A363" t="s">
        <v>271</v>
      </c>
      <c r="B363" t="s">
        <v>23</v>
      </c>
      <c r="C363" t="s">
        <v>14</v>
      </c>
      <c r="D363" t="s">
        <v>24</v>
      </c>
      <c r="E363">
        <v>134</v>
      </c>
      <c r="F363" s="6">
        <v>1200</v>
      </c>
      <c r="G363" s="6">
        <v>800</v>
      </c>
      <c r="H363" s="6">
        <v>160800</v>
      </c>
      <c r="I363" s="5">
        <f t="shared" si="5"/>
        <v>53600</v>
      </c>
    </row>
    <row r="364" spans="1:9" x14ac:dyDescent="0.3">
      <c r="A364" t="s">
        <v>317</v>
      </c>
      <c r="B364" t="s">
        <v>13</v>
      </c>
      <c r="C364" t="s">
        <v>17</v>
      </c>
      <c r="D364" t="s">
        <v>15</v>
      </c>
      <c r="E364">
        <v>58</v>
      </c>
      <c r="F364" s="6">
        <v>4000</v>
      </c>
      <c r="G364" s="6">
        <v>3000</v>
      </c>
      <c r="H364" s="6">
        <v>232000</v>
      </c>
      <c r="I364" s="5">
        <f t="shared" si="5"/>
        <v>58000</v>
      </c>
    </row>
    <row r="365" spans="1:9" x14ac:dyDescent="0.3">
      <c r="A365" t="s">
        <v>318</v>
      </c>
      <c r="B365" t="s">
        <v>9</v>
      </c>
      <c r="C365" t="s">
        <v>10</v>
      </c>
      <c r="D365" t="s">
        <v>15</v>
      </c>
      <c r="E365">
        <v>83</v>
      </c>
      <c r="F365" s="6">
        <v>4000</v>
      </c>
      <c r="G365" s="6">
        <v>3000</v>
      </c>
      <c r="H365" s="6">
        <v>332000</v>
      </c>
      <c r="I365" s="5">
        <f t="shared" si="5"/>
        <v>83000</v>
      </c>
    </row>
    <row r="366" spans="1:9" x14ac:dyDescent="0.3">
      <c r="A366" t="s">
        <v>319</v>
      </c>
      <c r="B366" t="s">
        <v>9</v>
      </c>
      <c r="C366" t="s">
        <v>10</v>
      </c>
      <c r="D366" t="s">
        <v>34</v>
      </c>
      <c r="E366">
        <v>69</v>
      </c>
      <c r="F366" s="6">
        <v>10000</v>
      </c>
      <c r="G366" s="6">
        <v>7000</v>
      </c>
      <c r="H366" s="6">
        <v>690000</v>
      </c>
      <c r="I366" s="5">
        <f t="shared" si="5"/>
        <v>207000</v>
      </c>
    </row>
    <row r="367" spans="1:9" x14ac:dyDescent="0.3">
      <c r="A367" t="s">
        <v>177</v>
      </c>
      <c r="B367" t="s">
        <v>58</v>
      </c>
      <c r="C367" t="s">
        <v>10</v>
      </c>
      <c r="D367" t="s">
        <v>24</v>
      </c>
      <c r="E367">
        <v>112</v>
      </c>
      <c r="F367" s="6">
        <v>1200</v>
      </c>
      <c r="G367" s="6">
        <v>800</v>
      </c>
      <c r="H367" s="6">
        <v>134400</v>
      </c>
      <c r="I367" s="5">
        <f t="shared" si="5"/>
        <v>44800</v>
      </c>
    </row>
    <row r="368" spans="1:9" x14ac:dyDescent="0.3">
      <c r="A368" t="s">
        <v>272</v>
      </c>
      <c r="B368" t="s">
        <v>36</v>
      </c>
      <c r="C368" t="s">
        <v>10</v>
      </c>
      <c r="D368" t="s">
        <v>31</v>
      </c>
      <c r="E368">
        <v>131</v>
      </c>
      <c r="F368" s="6">
        <v>1000</v>
      </c>
      <c r="G368" s="6">
        <v>700</v>
      </c>
      <c r="H368" s="6">
        <v>131000</v>
      </c>
      <c r="I368" s="5">
        <f t="shared" si="5"/>
        <v>39300</v>
      </c>
    </row>
    <row r="369" spans="1:9" x14ac:dyDescent="0.3">
      <c r="A369" t="s">
        <v>245</v>
      </c>
      <c r="B369" t="s">
        <v>23</v>
      </c>
      <c r="C369" t="s">
        <v>26</v>
      </c>
      <c r="D369" t="s">
        <v>18</v>
      </c>
      <c r="E369">
        <v>86</v>
      </c>
      <c r="F369" s="6">
        <v>6000</v>
      </c>
      <c r="G369" s="6">
        <v>4000</v>
      </c>
      <c r="H369" s="6">
        <v>516000</v>
      </c>
      <c r="I369" s="5">
        <f t="shared" si="5"/>
        <v>172000</v>
      </c>
    </row>
    <row r="370" spans="1:9" x14ac:dyDescent="0.3">
      <c r="A370" t="s">
        <v>320</v>
      </c>
      <c r="B370" t="s">
        <v>13</v>
      </c>
      <c r="C370" t="s">
        <v>10</v>
      </c>
      <c r="D370" t="s">
        <v>34</v>
      </c>
      <c r="E370">
        <v>105</v>
      </c>
      <c r="F370" s="6">
        <v>10000</v>
      </c>
      <c r="G370" s="6">
        <v>7000</v>
      </c>
      <c r="H370" s="6">
        <v>1050000</v>
      </c>
      <c r="I370" s="5">
        <f t="shared" si="5"/>
        <v>315000</v>
      </c>
    </row>
    <row r="371" spans="1:9" x14ac:dyDescent="0.3">
      <c r="A371" t="s">
        <v>321</v>
      </c>
      <c r="B371" t="s">
        <v>9</v>
      </c>
      <c r="C371" t="s">
        <v>14</v>
      </c>
      <c r="D371" t="s">
        <v>21</v>
      </c>
      <c r="E371">
        <v>50</v>
      </c>
      <c r="F371" s="6">
        <v>600</v>
      </c>
      <c r="G371" s="6">
        <v>400</v>
      </c>
      <c r="H371" s="6">
        <v>30000</v>
      </c>
      <c r="I371" s="5">
        <f t="shared" si="5"/>
        <v>10000</v>
      </c>
    </row>
    <row r="372" spans="1:9" x14ac:dyDescent="0.3">
      <c r="A372" t="s">
        <v>322</v>
      </c>
      <c r="B372" t="s">
        <v>13</v>
      </c>
      <c r="C372" t="s">
        <v>14</v>
      </c>
      <c r="D372" t="s">
        <v>31</v>
      </c>
      <c r="E372">
        <v>135</v>
      </c>
      <c r="F372" s="6">
        <v>1000</v>
      </c>
      <c r="G372" s="6">
        <v>700</v>
      </c>
      <c r="H372" s="6">
        <v>135000</v>
      </c>
      <c r="I372" s="5">
        <f t="shared" si="5"/>
        <v>40500</v>
      </c>
    </row>
    <row r="373" spans="1:9" x14ac:dyDescent="0.3">
      <c r="A373" t="s">
        <v>69</v>
      </c>
      <c r="B373" t="s">
        <v>28</v>
      </c>
      <c r="C373" t="s">
        <v>14</v>
      </c>
      <c r="D373" t="s">
        <v>11</v>
      </c>
      <c r="E373">
        <v>87</v>
      </c>
      <c r="F373" s="6">
        <v>3500</v>
      </c>
      <c r="G373" s="6">
        <v>2500</v>
      </c>
      <c r="H373" s="6">
        <v>304500</v>
      </c>
      <c r="I373" s="5">
        <f t="shared" si="5"/>
        <v>87000</v>
      </c>
    </row>
    <row r="374" spans="1:9" x14ac:dyDescent="0.3">
      <c r="A374" t="s">
        <v>323</v>
      </c>
      <c r="B374" t="s">
        <v>9</v>
      </c>
      <c r="C374" t="s">
        <v>26</v>
      </c>
      <c r="D374" t="s">
        <v>34</v>
      </c>
      <c r="E374">
        <v>60</v>
      </c>
      <c r="F374" s="6">
        <v>10000</v>
      </c>
      <c r="G374" s="6">
        <v>7000</v>
      </c>
      <c r="H374" s="6">
        <v>600000</v>
      </c>
      <c r="I374" s="5">
        <f t="shared" si="5"/>
        <v>180000</v>
      </c>
    </row>
    <row r="375" spans="1:9" x14ac:dyDescent="0.3">
      <c r="A375" t="s">
        <v>199</v>
      </c>
      <c r="B375" t="s">
        <v>23</v>
      </c>
      <c r="C375" t="s">
        <v>26</v>
      </c>
      <c r="D375" t="s">
        <v>31</v>
      </c>
      <c r="E375">
        <v>58</v>
      </c>
      <c r="F375" s="6">
        <v>1000</v>
      </c>
      <c r="G375" s="6">
        <v>700</v>
      </c>
      <c r="H375" s="6">
        <v>58000</v>
      </c>
      <c r="I375" s="5">
        <f t="shared" si="5"/>
        <v>17400</v>
      </c>
    </row>
    <row r="376" spans="1:9" x14ac:dyDescent="0.3">
      <c r="A376" t="s">
        <v>324</v>
      </c>
      <c r="B376" t="s">
        <v>9</v>
      </c>
      <c r="C376" t="s">
        <v>17</v>
      </c>
      <c r="D376" t="s">
        <v>18</v>
      </c>
      <c r="E376">
        <v>99</v>
      </c>
      <c r="F376" s="6">
        <v>6000</v>
      </c>
      <c r="G376" s="6">
        <v>4000</v>
      </c>
      <c r="H376" s="6">
        <v>594000</v>
      </c>
      <c r="I376" s="5">
        <f t="shared" si="5"/>
        <v>198000</v>
      </c>
    </row>
    <row r="377" spans="1:9" x14ac:dyDescent="0.3">
      <c r="A377" t="s">
        <v>22</v>
      </c>
      <c r="B377" t="s">
        <v>20</v>
      </c>
      <c r="C377" t="s">
        <v>17</v>
      </c>
      <c r="D377" t="s">
        <v>31</v>
      </c>
      <c r="E377">
        <v>61</v>
      </c>
      <c r="F377" s="6">
        <v>1000</v>
      </c>
      <c r="G377" s="6">
        <v>700</v>
      </c>
      <c r="H377" s="6">
        <v>61000</v>
      </c>
      <c r="I377" s="5">
        <f t="shared" si="5"/>
        <v>18300</v>
      </c>
    </row>
    <row r="378" spans="1:9" x14ac:dyDescent="0.3">
      <c r="A378" t="s">
        <v>325</v>
      </c>
      <c r="B378" t="s">
        <v>30</v>
      </c>
      <c r="C378" t="s">
        <v>10</v>
      </c>
      <c r="D378" t="s">
        <v>11</v>
      </c>
      <c r="E378">
        <v>88</v>
      </c>
      <c r="F378" s="6">
        <v>3500</v>
      </c>
      <c r="G378" s="6">
        <v>2500</v>
      </c>
      <c r="H378" s="6">
        <v>308000</v>
      </c>
      <c r="I378" s="5">
        <f t="shared" si="5"/>
        <v>88000</v>
      </c>
    </row>
    <row r="379" spans="1:9" x14ac:dyDescent="0.3">
      <c r="A379" t="s">
        <v>66</v>
      </c>
      <c r="B379" t="s">
        <v>58</v>
      </c>
      <c r="C379" t="s">
        <v>10</v>
      </c>
      <c r="D379" t="s">
        <v>34</v>
      </c>
      <c r="E379">
        <v>85</v>
      </c>
      <c r="F379" s="6">
        <v>10000</v>
      </c>
      <c r="G379" s="6">
        <v>7000</v>
      </c>
      <c r="H379" s="6">
        <v>850000</v>
      </c>
      <c r="I379" s="5">
        <f t="shared" si="5"/>
        <v>255000</v>
      </c>
    </row>
    <row r="380" spans="1:9" x14ac:dyDescent="0.3">
      <c r="A380" t="s">
        <v>235</v>
      </c>
      <c r="B380" t="s">
        <v>36</v>
      </c>
      <c r="C380" t="s">
        <v>10</v>
      </c>
      <c r="D380" t="s">
        <v>18</v>
      </c>
      <c r="E380">
        <v>134</v>
      </c>
      <c r="F380" s="6">
        <v>6000</v>
      </c>
      <c r="G380" s="6">
        <v>4000</v>
      </c>
      <c r="H380" s="6">
        <v>804000</v>
      </c>
      <c r="I380" s="5">
        <f t="shared" si="5"/>
        <v>268000</v>
      </c>
    </row>
    <row r="381" spans="1:9" x14ac:dyDescent="0.3">
      <c r="A381" t="s">
        <v>56</v>
      </c>
      <c r="B381" t="s">
        <v>20</v>
      </c>
      <c r="C381" t="s">
        <v>10</v>
      </c>
      <c r="D381" t="s">
        <v>31</v>
      </c>
      <c r="E381">
        <v>123</v>
      </c>
      <c r="F381" s="6">
        <v>1000</v>
      </c>
      <c r="G381" s="6">
        <v>700</v>
      </c>
      <c r="H381" s="6">
        <v>123000</v>
      </c>
      <c r="I381" s="5">
        <f t="shared" si="5"/>
        <v>36900</v>
      </c>
    </row>
    <row r="382" spans="1:9" x14ac:dyDescent="0.3">
      <c r="A382" t="s">
        <v>326</v>
      </c>
      <c r="B382" t="s">
        <v>36</v>
      </c>
      <c r="C382" t="s">
        <v>10</v>
      </c>
      <c r="D382" t="s">
        <v>11</v>
      </c>
      <c r="E382">
        <v>116</v>
      </c>
      <c r="F382" s="6">
        <v>3500</v>
      </c>
      <c r="G382" s="6">
        <v>2500</v>
      </c>
      <c r="H382" s="6">
        <v>406000</v>
      </c>
      <c r="I382" s="5">
        <f t="shared" si="5"/>
        <v>116000</v>
      </c>
    </row>
    <row r="383" spans="1:9" x14ac:dyDescent="0.3">
      <c r="A383" t="s">
        <v>327</v>
      </c>
      <c r="B383" t="s">
        <v>58</v>
      </c>
      <c r="C383" t="s">
        <v>10</v>
      </c>
      <c r="D383" t="s">
        <v>18</v>
      </c>
      <c r="E383">
        <v>139</v>
      </c>
      <c r="F383" s="6">
        <v>6000</v>
      </c>
      <c r="G383" s="6">
        <v>4000</v>
      </c>
      <c r="H383" s="6">
        <v>834000</v>
      </c>
      <c r="I383" s="5">
        <f t="shared" si="5"/>
        <v>278000</v>
      </c>
    </row>
    <row r="384" spans="1:9" x14ac:dyDescent="0.3">
      <c r="A384" t="s">
        <v>225</v>
      </c>
      <c r="B384" t="s">
        <v>13</v>
      </c>
      <c r="C384" t="s">
        <v>10</v>
      </c>
      <c r="D384" t="s">
        <v>11</v>
      </c>
      <c r="E384">
        <v>131</v>
      </c>
      <c r="F384" s="6">
        <v>3500</v>
      </c>
      <c r="G384" s="6">
        <v>2500</v>
      </c>
      <c r="H384" s="6">
        <v>458500</v>
      </c>
      <c r="I384" s="5">
        <f t="shared" si="5"/>
        <v>131000</v>
      </c>
    </row>
    <row r="385" spans="1:9" x14ac:dyDescent="0.3">
      <c r="A385" t="s">
        <v>328</v>
      </c>
      <c r="B385" t="s">
        <v>43</v>
      </c>
      <c r="C385" t="s">
        <v>10</v>
      </c>
      <c r="D385" t="s">
        <v>18</v>
      </c>
      <c r="E385">
        <v>130</v>
      </c>
      <c r="F385" s="6">
        <v>6000</v>
      </c>
      <c r="G385" s="6">
        <v>4000</v>
      </c>
      <c r="H385" s="6">
        <v>780000</v>
      </c>
      <c r="I385" s="5">
        <f t="shared" si="5"/>
        <v>260000</v>
      </c>
    </row>
    <row r="386" spans="1:9" x14ac:dyDescent="0.3">
      <c r="A386" t="s">
        <v>329</v>
      </c>
      <c r="B386" t="s">
        <v>30</v>
      </c>
      <c r="C386" t="s">
        <v>17</v>
      </c>
      <c r="D386" t="s">
        <v>31</v>
      </c>
      <c r="E386">
        <v>74</v>
      </c>
      <c r="F386" s="6">
        <v>1000</v>
      </c>
      <c r="G386" s="6">
        <v>700</v>
      </c>
      <c r="H386" s="6">
        <v>74000</v>
      </c>
      <c r="I386" s="5">
        <f t="shared" ref="I386:I449" si="6">H386-(G386*E386)</f>
        <v>22200</v>
      </c>
    </row>
    <row r="387" spans="1:9" x14ac:dyDescent="0.3">
      <c r="A387" t="s">
        <v>330</v>
      </c>
      <c r="B387" t="s">
        <v>43</v>
      </c>
      <c r="C387" t="s">
        <v>14</v>
      </c>
      <c r="D387" t="s">
        <v>21</v>
      </c>
      <c r="E387">
        <v>52</v>
      </c>
      <c r="F387" s="6">
        <v>600</v>
      </c>
      <c r="G387" s="6">
        <v>400</v>
      </c>
      <c r="H387" s="6">
        <v>31200</v>
      </c>
      <c r="I387" s="5">
        <f t="shared" si="6"/>
        <v>10400</v>
      </c>
    </row>
    <row r="388" spans="1:9" x14ac:dyDescent="0.3">
      <c r="A388" t="s">
        <v>331</v>
      </c>
      <c r="B388" t="s">
        <v>58</v>
      </c>
      <c r="C388" t="s">
        <v>26</v>
      </c>
      <c r="D388" t="s">
        <v>18</v>
      </c>
      <c r="E388">
        <v>122</v>
      </c>
      <c r="F388" s="6">
        <v>6000</v>
      </c>
      <c r="G388" s="6">
        <v>4000</v>
      </c>
      <c r="H388" s="6">
        <v>732000</v>
      </c>
      <c r="I388" s="5">
        <f t="shared" si="6"/>
        <v>244000</v>
      </c>
    </row>
    <row r="389" spans="1:9" x14ac:dyDescent="0.3">
      <c r="A389" t="s">
        <v>332</v>
      </c>
      <c r="B389" t="s">
        <v>23</v>
      </c>
      <c r="C389" t="s">
        <v>14</v>
      </c>
      <c r="D389" t="s">
        <v>21</v>
      </c>
      <c r="E389">
        <v>105</v>
      </c>
      <c r="F389" s="6">
        <v>600</v>
      </c>
      <c r="G389" s="6">
        <v>400</v>
      </c>
      <c r="H389" s="6">
        <v>63000</v>
      </c>
      <c r="I389" s="5">
        <f t="shared" si="6"/>
        <v>21000</v>
      </c>
    </row>
    <row r="390" spans="1:9" x14ac:dyDescent="0.3">
      <c r="A390" t="s">
        <v>302</v>
      </c>
      <c r="B390" t="s">
        <v>13</v>
      </c>
      <c r="C390" t="s">
        <v>26</v>
      </c>
      <c r="D390" t="s">
        <v>15</v>
      </c>
      <c r="E390">
        <v>79</v>
      </c>
      <c r="F390" s="6">
        <v>4000</v>
      </c>
      <c r="G390" s="6">
        <v>3000</v>
      </c>
      <c r="H390" s="6">
        <v>316000</v>
      </c>
      <c r="I390" s="5">
        <f t="shared" si="6"/>
        <v>79000</v>
      </c>
    </row>
    <row r="391" spans="1:9" x14ac:dyDescent="0.3">
      <c r="A391" t="s">
        <v>333</v>
      </c>
      <c r="B391" t="s">
        <v>13</v>
      </c>
      <c r="C391" t="s">
        <v>14</v>
      </c>
      <c r="D391" t="s">
        <v>24</v>
      </c>
      <c r="E391">
        <v>75</v>
      </c>
      <c r="F391" s="6">
        <v>1200</v>
      </c>
      <c r="G391" s="6">
        <v>800</v>
      </c>
      <c r="H391" s="6">
        <v>90000</v>
      </c>
      <c r="I391" s="5">
        <f t="shared" si="6"/>
        <v>30000</v>
      </c>
    </row>
    <row r="392" spans="1:9" x14ac:dyDescent="0.3">
      <c r="A392" t="s">
        <v>334</v>
      </c>
      <c r="B392" t="s">
        <v>9</v>
      </c>
      <c r="C392" t="s">
        <v>14</v>
      </c>
      <c r="D392" t="s">
        <v>15</v>
      </c>
      <c r="E392">
        <v>56</v>
      </c>
      <c r="F392" s="6">
        <v>4000</v>
      </c>
      <c r="G392" s="6">
        <v>3000</v>
      </c>
      <c r="H392" s="6">
        <v>224000</v>
      </c>
      <c r="I392" s="5">
        <f t="shared" si="6"/>
        <v>56000</v>
      </c>
    </row>
    <row r="393" spans="1:9" x14ac:dyDescent="0.3">
      <c r="A393" t="s">
        <v>56</v>
      </c>
      <c r="B393" t="s">
        <v>30</v>
      </c>
      <c r="C393" t="s">
        <v>10</v>
      </c>
      <c r="D393" t="s">
        <v>31</v>
      </c>
      <c r="E393">
        <v>97</v>
      </c>
      <c r="F393" s="6">
        <v>1000</v>
      </c>
      <c r="G393" s="6">
        <v>700</v>
      </c>
      <c r="H393" s="6">
        <v>97000</v>
      </c>
      <c r="I393" s="5">
        <f t="shared" si="6"/>
        <v>29100</v>
      </c>
    </row>
    <row r="394" spans="1:9" x14ac:dyDescent="0.3">
      <c r="A394" t="s">
        <v>335</v>
      </c>
      <c r="B394" t="s">
        <v>30</v>
      </c>
      <c r="C394" t="s">
        <v>26</v>
      </c>
      <c r="D394" t="s">
        <v>31</v>
      </c>
      <c r="E394">
        <v>83</v>
      </c>
      <c r="F394" s="6">
        <v>1000</v>
      </c>
      <c r="G394" s="6">
        <v>700</v>
      </c>
      <c r="H394" s="6">
        <v>83000</v>
      </c>
      <c r="I394" s="5">
        <f t="shared" si="6"/>
        <v>24900</v>
      </c>
    </row>
    <row r="395" spans="1:9" x14ac:dyDescent="0.3">
      <c r="A395" t="s">
        <v>336</v>
      </c>
      <c r="B395" t="s">
        <v>43</v>
      </c>
      <c r="C395" t="s">
        <v>17</v>
      </c>
      <c r="D395" t="s">
        <v>15</v>
      </c>
      <c r="E395">
        <v>78</v>
      </c>
      <c r="F395" s="6">
        <v>4000</v>
      </c>
      <c r="G395" s="6">
        <v>3000</v>
      </c>
      <c r="H395" s="6">
        <v>312000</v>
      </c>
      <c r="I395" s="5">
        <f t="shared" si="6"/>
        <v>78000</v>
      </c>
    </row>
    <row r="396" spans="1:9" x14ac:dyDescent="0.3">
      <c r="A396" t="s">
        <v>337</v>
      </c>
      <c r="B396" t="s">
        <v>58</v>
      </c>
      <c r="C396" t="s">
        <v>10</v>
      </c>
      <c r="D396" t="s">
        <v>34</v>
      </c>
      <c r="E396">
        <v>70</v>
      </c>
      <c r="F396" s="6">
        <v>10000</v>
      </c>
      <c r="G396" s="6">
        <v>7000</v>
      </c>
      <c r="H396" s="6">
        <v>700000</v>
      </c>
      <c r="I396" s="5">
        <f t="shared" si="6"/>
        <v>210000</v>
      </c>
    </row>
    <row r="397" spans="1:9" x14ac:dyDescent="0.3">
      <c r="A397" t="s">
        <v>338</v>
      </c>
      <c r="B397" t="s">
        <v>36</v>
      </c>
      <c r="C397" t="s">
        <v>10</v>
      </c>
      <c r="D397" t="s">
        <v>21</v>
      </c>
      <c r="E397">
        <v>63</v>
      </c>
      <c r="F397" s="6">
        <v>600</v>
      </c>
      <c r="G397" s="6">
        <v>400</v>
      </c>
      <c r="H397" s="6">
        <v>37800</v>
      </c>
      <c r="I397" s="5">
        <f t="shared" si="6"/>
        <v>12600</v>
      </c>
    </row>
    <row r="398" spans="1:9" x14ac:dyDescent="0.3">
      <c r="A398" t="s">
        <v>339</v>
      </c>
      <c r="B398" t="s">
        <v>30</v>
      </c>
      <c r="C398" t="s">
        <v>17</v>
      </c>
      <c r="D398" t="s">
        <v>11</v>
      </c>
      <c r="E398">
        <v>119</v>
      </c>
      <c r="F398" s="6">
        <v>3500</v>
      </c>
      <c r="G398" s="6">
        <v>2500</v>
      </c>
      <c r="H398" s="6">
        <v>416500</v>
      </c>
      <c r="I398" s="5">
        <f t="shared" si="6"/>
        <v>119000</v>
      </c>
    </row>
    <row r="399" spans="1:9" x14ac:dyDescent="0.3">
      <c r="A399" t="s">
        <v>52</v>
      </c>
      <c r="B399" t="s">
        <v>9</v>
      </c>
      <c r="C399" t="s">
        <v>10</v>
      </c>
      <c r="D399" t="s">
        <v>15</v>
      </c>
      <c r="E399">
        <v>105</v>
      </c>
      <c r="F399" s="6">
        <v>4000</v>
      </c>
      <c r="G399" s="6">
        <v>3000</v>
      </c>
      <c r="H399" s="6">
        <v>420000</v>
      </c>
      <c r="I399" s="5">
        <f t="shared" si="6"/>
        <v>105000</v>
      </c>
    </row>
    <row r="400" spans="1:9" x14ac:dyDescent="0.3">
      <c r="A400" t="s">
        <v>340</v>
      </c>
      <c r="B400" t="s">
        <v>58</v>
      </c>
      <c r="C400" t="s">
        <v>10</v>
      </c>
      <c r="D400" t="s">
        <v>31</v>
      </c>
      <c r="E400">
        <v>147</v>
      </c>
      <c r="F400" s="6">
        <v>1000</v>
      </c>
      <c r="G400" s="6">
        <v>700</v>
      </c>
      <c r="H400" s="6">
        <v>147000</v>
      </c>
      <c r="I400" s="5">
        <f t="shared" si="6"/>
        <v>44100</v>
      </c>
    </row>
    <row r="401" spans="1:9" x14ac:dyDescent="0.3">
      <c r="A401" t="s">
        <v>248</v>
      </c>
      <c r="B401" t="s">
        <v>40</v>
      </c>
      <c r="C401" t="s">
        <v>14</v>
      </c>
      <c r="D401" t="s">
        <v>11</v>
      </c>
      <c r="E401">
        <v>66</v>
      </c>
      <c r="F401" s="6">
        <v>3500</v>
      </c>
      <c r="G401" s="6">
        <v>2500</v>
      </c>
      <c r="H401" s="6">
        <v>231000</v>
      </c>
      <c r="I401" s="5">
        <f t="shared" si="6"/>
        <v>66000</v>
      </c>
    </row>
    <row r="402" spans="1:9" x14ac:dyDescent="0.3">
      <c r="A402" t="s">
        <v>280</v>
      </c>
      <c r="B402" t="s">
        <v>58</v>
      </c>
      <c r="C402" t="s">
        <v>17</v>
      </c>
      <c r="D402" t="s">
        <v>18</v>
      </c>
      <c r="E402">
        <v>71</v>
      </c>
      <c r="F402" s="6">
        <v>6000</v>
      </c>
      <c r="G402" s="6">
        <v>4000</v>
      </c>
      <c r="H402" s="6">
        <v>426000</v>
      </c>
      <c r="I402" s="5">
        <f t="shared" si="6"/>
        <v>142000</v>
      </c>
    </row>
    <row r="403" spans="1:9" x14ac:dyDescent="0.3">
      <c r="A403" t="s">
        <v>341</v>
      </c>
      <c r="B403" t="s">
        <v>30</v>
      </c>
      <c r="C403" t="s">
        <v>14</v>
      </c>
      <c r="D403" t="s">
        <v>21</v>
      </c>
      <c r="E403">
        <v>108</v>
      </c>
      <c r="F403" s="6">
        <v>600</v>
      </c>
      <c r="G403" s="6">
        <v>400</v>
      </c>
      <c r="H403" s="6">
        <v>64800</v>
      </c>
      <c r="I403" s="5">
        <f t="shared" si="6"/>
        <v>21600</v>
      </c>
    </row>
    <row r="404" spans="1:9" x14ac:dyDescent="0.3">
      <c r="A404" t="s">
        <v>189</v>
      </c>
      <c r="B404" t="s">
        <v>58</v>
      </c>
      <c r="C404" t="s">
        <v>10</v>
      </c>
      <c r="D404" t="s">
        <v>24</v>
      </c>
      <c r="E404">
        <v>121</v>
      </c>
      <c r="F404" s="6">
        <v>1200</v>
      </c>
      <c r="G404" s="6">
        <v>800</v>
      </c>
      <c r="H404" s="6">
        <v>145200</v>
      </c>
      <c r="I404" s="5">
        <f t="shared" si="6"/>
        <v>48400</v>
      </c>
    </row>
    <row r="405" spans="1:9" x14ac:dyDescent="0.3">
      <c r="A405" t="s">
        <v>101</v>
      </c>
      <c r="B405" t="s">
        <v>36</v>
      </c>
      <c r="C405" t="s">
        <v>14</v>
      </c>
      <c r="D405" t="s">
        <v>18</v>
      </c>
      <c r="E405">
        <v>75</v>
      </c>
      <c r="F405" s="6">
        <v>6000</v>
      </c>
      <c r="G405" s="6">
        <v>4000</v>
      </c>
      <c r="H405" s="6">
        <v>450000</v>
      </c>
      <c r="I405" s="5">
        <f t="shared" si="6"/>
        <v>150000</v>
      </c>
    </row>
    <row r="406" spans="1:9" x14ac:dyDescent="0.3">
      <c r="A406" t="s">
        <v>181</v>
      </c>
      <c r="B406" t="s">
        <v>40</v>
      </c>
      <c r="C406" t="s">
        <v>26</v>
      </c>
      <c r="D406" t="s">
        <v>18</v>
      </c>
      <c r="E406">
        <v>124</v>
      </c>
      <c r="F406" s="6">
        <v>6000</v>
      </c>
      <c r="G406" s="6">
        <v>4000</v>
      </c>
      <c r="H406" s="6">
        <v>744000</v>
      </c>
      <c r="I406" s="5">
        <f t="shared" si="6"/>
        <v>248000</v>
      </c>
    </row>
    <row r="407" spans="1:9" x14ac:dyDescent="0.3">
      <c r="A407" t="s">
        <v>110</v>
      </c>
      <c r="B407" t="s">
        <v>36</v>
      </c>
      <c r="C407" t="s">
        <v>14</v>
      </c>
      <c r="D407" t="s">
        <v>18</v>
      </c>
      <c r="E407">
        <v>84</v>
      </c>
      <c r="F407" s="6">
        <v>6000</v>
      </c>
      <c r="G407" s="6">
        <v>4000</v>
      </c>
      <c r="H407" s="6">
        <v>504000</v>
      </c>
      <c r="I407" s="5">
        <f t="shared" si="6"/>
        <v>168000</v>
      </c>
    </row>
    <row r="408" spans="1:9" x14ac:dyDescent="0.3">
      <c r="A408" t="s">
        <v>342</v>
      </c>
      <c r="B408" t="s">
        <v>13</v>
      </c>
      <c r="C408" t="s">
        <v>26</v>
      </c>
      <c r="D408" t="s">
        <v>11</v>
      </c>
      <c r="E408">
        <v>52</v>
      </c>
      <c r="F408" s="6">
        <v>3500</v>
      </c>
      <c r="G408" s="6">
        <v>2500</v>
      </c>
      <c r="H408" s="6">
        <v>182000</v>
      </c>
      <c r="I408" s="5">
        <f t="shared" si="6"/>
        <v>52000</v>
      </c>
    </row>
    <row r="409" spans="1:9" x14ac:dyDescent="0.3">
      <c r="A409" t="s">
        <v>343</v>
      </c>
      <c r="B409" t="s">
        <v>40</v>
      </c>
      <c r="C409" t="s">
        <v>10</v>
      </c>
      <c r="D409" t="s">
        <v>21</v>
      </c>
      <c r="E409">
        <v>58</v>
      </c>
      <c r="F409" s="6">
        <v>600</v>
      </c>
      <c r="G409" s="6">
        <v>400</v>
      </c>
      <c r="H409" s="6">
        <v>34800</v>
      </c>
      <c r="I409" s="5">
        <f t="shared" si="6"/>
        <v>11600</v>
      </c>
    </row>
    <row r="410" spans="1:9" x14ac:dyDescent="0.3">
      <c r="A410" t="s">
        <v>344</v>
      </c>
      <c r="B410" t="s">
        <v>30</v>
      </c>
      <c r="C410" t="s">
        <v>17</v>
      </c>
      <c r="D410" t="s">
        <v>11</v>
      </c>
      <c r="E410">
        <v>91</v>
      </c>
      <c r="F410" s="6">
        <v>3500</v>
      </c>
      <c r="G410" s="6">
        <v>2500</v>
      </c>
      <c r="H410" s="6">
        <v>318500</v>
      </c>
      <c r="I410" s="5">
        <f t="shared" si="6"/>
        <v>91000</v>
      </c>
    </row>
    <row r="411" spans="1:9" x14ac:dyDescent="0.3">
      <c r="A411" t="s">
        <v>154</v>
      </c>
      <c r="B411" t="s">
        <v>23</v>
      </c>
      <c r="C411" t="s">
        <v>14</v>
      </c>
      <c r="D411" t="s">
        <v>34</v>
      </c>
      <c r="E411">
        <v>103</v>
      </c>
      <c r="F411" s="6">
        <v>10000</v>
      </c>
      <c r="G411" s="6">
        <v>7000</v>
      </c>
      <c r="H411" s="6">
        <v>1030000</v>
      </c>
      <c r="I411" s="5">
        <f t="shared" si="6"/>
        <v>309000</v>
      </c>
    </row>
    <row r="412" spans="1:9" x14ac:dyDescent="0.3">
      <c r="A412" t="s">
        <v>269</v>
      </c>
      <c r="B412" t="s">
        <v>23</v>
      </c>
      <c r="C412" t="s">
        <v>10</v>
      </c>
      <c r="D412" t="s">
        <v>15</v>
      </c>
      <c r="E412">
        <v>96</v>
      </c>
      <c r="F412" s="6">
        <v>4000</v>
      </c>
      <c r="G412" s="6">
        <v>3000</v>
      </c>
      <c r="H412" s="6">
        <v>384000</v>
      </c>
      <c r="I412" s="5">
        <f t="shared" si="6"/>
        <v>96000</v>
      </c>
    </row>
    <row r="413" spans="1:9" x14ac:dyDescent="0.3">
      <c r="A413" t="s">
        <v>345</v>
      </c>
      <c r="B413" t="s">
        <v>13</v>
      </c>
      <c r="C413" t="s">
        <v>14</v>
      </c>
      <c r="D413" t="s">
        <v>34</v>
      </c>
      <c r="E413">
        <v>57</v>
      </c>
      <c r="F413" s="6">
        <v>10000</v>
      </c>
      <c r="G413" s="6">
        <v>7000</v>
      </c>
      <c r="H413" s="6">
        <v>570000</v>
      </c>
      <c r="I413" s="5">
        <f t="shared" si="6"/>
        <v>171000</v>
      </c>
    </row>
    <row r="414" spans="1:9" x14ac:dyDescent="0.3">
      <c r="A414" t="s">
        <v>276</v>
      </c>
      <c r="B414" t="s">
        <v>20</v>
      </c>
      <c r="C414" t="s">
        <v>10</v>
      </c>
      <c r="D414" t="s">
        <v>11</v>
      </c>
      <c r="E414">
        <v>99</v>
      </c>
      <c r="F414" s="6">
        <v>3500</v>
      </c>
      <c r="G414" s="6">
        <v>2500</v>
      </c>
      <c r="H414" s="6">
        <v>346500</v>
      </c>
      <c r="I414" s="5">
        <f t="shared" si="6"/>
        <v>99000</v>
      </c>
    </row>
    <row r="415" spans="1:9" x14ac:dyDescent="0.3">
      <c r="A415" t="s">
        <v>75</v>
      </c>
      <c r="B415" t="s">
        <v>13</v>
      </c>
      <c r="C415" t="s">
        <v>26</v>
      </c>
      <c r="D415" t="s">
        <v>24</v>
      </c>
      <c r="E415">
        <v>140</v>
      </c>
      <c r="F415" s="6">
        <v>1200</v>
      </c>
      <c r="G415" s="6">
        <v>800</v>
      </c>
      <c r="H415" s="6">
        <v>168000</v>
      </c>
      <c r="I415" s="5">
        <f t="shared" si="6"/>
        <v>56000</v>
      </c>
    </row>
    <row r="416" spans="1:9" x14ac:dyDescent="0.3">
      <c r="A416" t="s">
        <v>145</v>
      </c>
      <c r="B416" t="s">
        <v>9</v>
      </c>
      <c r="C416" t="s">
        <v>10</v>
      </c>
      <c r="D416" t="s">
        <v>11</v>
      </c>
      <c r="E416">
        <v>111</v>
      </c>
      <c r="F416" s="6">
        <v>3500</v>
      </c>
      <c r="G416" s="6">
        <v>2500</v>
      </c>
      <c r="H416" s="6">
        <v>388500</v>
      </c>
      <c r="I416" s="5">
        <f t="shared" si="6"/>
        <v>111000</v>
      </c>
    </row>
    <row r="417" spans="1:9" x14ac:dyDescent="0.3">
      <c r="A417" t="s">
        <v>194</v>
      </c>
      <c r="B417" t="s">
        <v>36</v>
      </c>
      <c r="C417" t="s">
        <v>26</v>
      </c>
      <c r="D417" t="s">
        <v>18</v>
      </c>
      <c r="E417">
        <v>54</v>
      </c>
      <c r="F417" s="6">
        <v>6000</v>
      </c>
      <c r="G417" s="6">
        <v>4000</v>
      </c>
      <c r="H417" s="6">
        <v>324000</v>
      </c>
      <c r="I417" s="5">
        <f t="shared" si="6"/>
        <v>108000</v>
      </c>
    </row>
    <row r="418" spans="1:9" x14ac:dyDescent="0.3">
      <c r="A418" t="s">
        <v>346</v>
      </c>
      <c r="B418" t="s">
        <v>30</v>
      </c>
      <c r="C418" t="s">
        <v>26</v>
      </c>
      <c r="D418" t="s">
        <v>31</v>
      </c>
      <c r="E418">
        <v>69</v>
      </c>
      <c r="F418" s="6">
        <v>1000</v>
      </c>
      <c r="G418" s="6">
        <v>700</v>
      </c>
      <c r="H418" s="6">
        <v>69000</v>
      </c>
      <c r="I418" s="5">
        <f t="shared" si="6"/>
        <v>20700</v>
      </c>
    </row>
    <row r="419" spans="1:9" x14ac:dyDescent="0.3">
      <c r="A419" t="s">
        <v>329</v>
      </c>
      <c r="B419" t="s">
        <v>30</v>
      </c>
      <c r="C419" t="s">
        <v>26</v>
      </c>
      <c r="D419" t="s">
        <v>15</v>
      </c>
      <c r="E419">
        <v>140</v>
      </c>
      <c r="F419" s="6">
        <v>4000</v>
      </c>
      <c r="G419" s="6">
        <v>3000</v>
      </c>
      <c r="H419" s="6">
        <v>560000</v>
      </c>
      <c r="I419" s="5">
        <f t="shared" si="6"/>
        <v>140000</v>
      </c>
    </row>
    <row r="420" spans="1:9" x14ac:dyDescent="0.3">
      <c r="A420" t="s">
        <v>111</v>
      </c>
      <c r="B420" t="s">
        <v>13</v>
      </c>
      <c r="C420" t="s">
        <v>10</v>
      </c>
      <c r="D420" t="s">
        <v>18</v>
      </c>
      <c r="E420">
        <v>60</v>
      </c>
      <c r="F420" s="6">
        <v>6000</v>
      </c>
      <c r="G420" s="6">
        <v>4000</v>
      </c>
      <c r="H420" s="6">
        <v>360000</v>
      </c>
      <c r="I420" s="5">
        <f t="shared" si="6"/>
        <v>120000</v>
      </c>
    </row>
    <row r="421" spans="1:9" x14ac:dyDescent="0.3">
      <c r="A421" t="s">
        <v>347</v>
      </c>
      <c r="B421" t="s">
        <v>40</v>
      </c>
      <c r="C421" t="s">
        <v>17</v>
      </c>
      <c r="D421" t="s">
        <v>15</v>
      </c>
      <c r="E421">
        <v>131</v>
      </c>
      <c r="F421" s="6">
        <v>4000</v>
      </c>
      <c r="G421" s="6">
        <v>3000</v>
      </c>
      <c r="H421" s="6">
        <v>524000</v>
      </c>
      <c r="I421" s="5">
        <f t="shared" si="6"/>
        <v>131000</v>
      </c>
    </row>
    <row r="422" spans="1:9" x14ac:dyDescent="0.3">
      <c r="A422" t="s">
        <v>348</v>
      </c>
      <c r="B422" t="s">
        <v>43</v>
      </c>
      <c r="C422" t="s">
        <v>14</v>
      </c>
      <c r="D422" t="s">
        <v>18</v>
      </c>
      <c r="E422">
        <v>66</v>
      </c>
      <c r="F422" s="6">
        <v>6000</v>
      </c>
      <c r="G422" s="6">
        <v>4000</v>
      </c>
      <c r="H422" s="6">
        <v>396000</v>
      </c>
      <c r="I422" s="5">
        <f t="shared" si="6"/>
        <v>132000</v>
      </c>
    </row>
    <row r="423" spans="1:9" x14ac:dyDescent="0.3">
      <c r="A423" t="s">
        <v>349</v>
      </c>
      <c r="B423" t="s">
        <v>30</v>
      </c>
      <c r="C423" t="s">
        <v>26</v>
      </c>
      <c r="D423" t="s">
        <v>21</v>
      </c>
      <c r="E423">
        <v>65</v>
      </c>
      <c r="F423" s="6">
        <v>600</v>
      </c>
      <c r="G423" s="6">
        <v>400</v>
      </c>
      <c r="H423" s="6">
        <v>39000</v>
      </c>
      <c r="I423" s="5">
        <f t="shared" si="6"/>
        <v>13000</v>
      </c>
    </row>
    <row r="424" spans="1:9" x14ac:dyDescent="0.3">
      <c r="A424" t="s">
        <v>121</v>
      </c>
      <c r="B424" t="s">
        <v>23</v>
      </c>
      <c r="C424" t="s">
        <v>10</v>
      </c>
      <c r="D424" t="s">
        <v>34</v>
      </c>
      <c r="E424">
        <v>98</v>
      </c>
      <c r="F424" s="6">
        <v>10000</v>
      </c>
      <c r="G424" s="6">
        <v>7000</v>
      </c>
      <c r="H424" s="6">
        <v>980000</v>
      </c>
      <c r="I424" s="5">
        <f t="shared" si="6"/>
        <v>294000</v>
      </c>
    </row>
    <row r="425" spans="1:9" x14ac:dyDescent="0.3">
      <c r="A425" t="s">
        <v>350</v>
      </c>
      <c r="B425" t="s">
        <v>23</v>
      </c>
      <c r="C425" t="s">
        <v>17</v>
      </c>
      <c r="D425" t="s">
        <v>24</v>
      </c>
      <c r="E425">
        <v>86</v>
      </c>
      <c r="F425" s="6">
        <v>1200</v>
      </c>
      <c r="G425" s="6">
        <v>800</v>
      </c>
      <c r="H425" s="6">
        <v>103200</v>
      </c>
      <c r="I425" s="5">
        <f t="shared" si="6"/>
        <v>34400</v>
      </c>
    </row>
    <row r="426" spans="1:9" x14ac:dyDescent="0.3">
      <c r="A426" t="s">
        <v>351</v>
      </c>
      <c r="B426" t="s">
        <v>58</v>
      </c>
      <c r="C426" t="s">
        <v>26</v>
      </c>
      <c r="D426" t="s">
        <v>31</v>
      </c>
      <c r="E426">
        <v>55</v>
      </c>
      <c r="F426" s="6">
        <v>1000</v>
      </c>
      <c r="G426" s="6">
        <v>700</v>
      </c>
      <c r="H426" s="6">
        <v>55000</v>
      </c>
      <c r="I426" s="5">
        <f t="shared" si="6"/>
        <v>16500</v>
      </c>
    </row>
    <row r="427" spans="1:9" x14ac:dyDescent="0.3">
      <c r="A427" t="s">
        <v>352</v>
      </c>
      <c r="B427" t="s">
        <v>30</v>
      </c>
      <c r="C427" t="s">
        <v>26</v>
      </c>
      <c r="D427" t="s">
        <v>15</v>
      </c>
      <c r="E427">
        <v>72</v>
      </c>
      <c r="F427" s="6">
        <v>4000</v>
      </c>
      <c r="G427" s="6">
        <v>3000</v>
      </c>
      <c r="H427" s="6">
        <v>288000</v>
      </c>
      <c r="I427" s="5">
        <f t="shared" si="6"/>
        <v>72000</v>
      </c>
    </row>
    <row r="428" spans="1:9" x14ac:dyDescent="0.3">
      <c r="A428" t="s">
        <v>353</v>
      </c>
      <c r="B428" t="s">
        <v>28</v>
      </c>
      <c r="C428" t="s">
        <v>26</v>
      </c>
      <c r="D428" t="s">
        <v>21</v>
      </c>
      <c r="E428">
        <v>81</v>
      </c>
      <c r="F428" s="6">
        <v>600</v>
      </c>
      <c r="G428" s="6">
        <v>400</v>
      </c>
      <c r="H428" s="6">
        <v>48600</v>
      </c>
      <c r="I428" s="5">
        <f t="shared" si="6"/>
        <v>16200</v>
      </c>
    </row>
    <row r="429" spans="1:9" x14ac:dyDescent="0.3">
      <c r="A429" t="s">
        <v>354</v>
      </c>
      <c r="B429" t="s">
        <v>13</v>
      </c>
      <c r="C429" t="s">
        <v>17</v>
      </c>
      <c r="D429" t="s">
        <v>34</v>
      </c>
      <c r="E429">
        <v>58</v>
      </c>
      <c r="F429" s="6">
        <v>10000</v>
      </c>
      <c r="G429" s="6">
        <v>7000</v>
      </c>
      <c r="H429" s="6">
        <v>580000</v>
      </c>
      <c r="I429" s="5">
        <f t="shared" si="6"/>
        <v>174000</v>
      </c>
    </row>
    <row r="430" spans="1:9" x14ac:dyDescent="0.3">
      <c r="A430" t="s">
        <v>304</v>
      </c>
      <c r="B430" t="s">
        <v>9</v>
      </c>
      <c r="C430" t="s">
        <v>14</v>
      </c>
      <c r="D430" t="s">
        <v>18</v>
      </c>
      <c r="E430">
        <v>106</v>
      </c>
      <c r="F430" s="6">
        <v>6000</v>
      </c>
      <c r="G430" s="6">
        <v>4000</v>
      </c>
      <c r="H430" s="6">
        <v>636000</v>
      </c>
      <c r="I430" s="5">
        <f t="shared" si="6"/>
        <v>212000</v>
      </c>
    </row>
    <row r="431" spans="1:9" x14ac:dyDescent="0.3">
      <c r="A431" t="s">
        <v>145</v>
      </c>
      <c r="B431" t="s">
        <v>28</v>
      </c>
      <c r="C431" t="s">
        <v>14</v>
      </c>
      <c r="D431" t="s">
        <v>31</v>
      </c>
      <c r="E431">
        <v>120</v>
      </c>
      <c r="F431" s="6">
        <v>1000</v>
      </c>
      <c r="G431" s="6">
        <v>700</v>
      </c>
      <c r="H431" s="6">
        <v>120000</v>
      </c>
      <c r="I431" s="5">
        <f t="shared" si="6"/>
        <v>36000</v>
      </c>
    </row>
    <row r="432" spans="1:9" x14ac:dyDescent="0.3">
      <c r="A432" t="s">
        <v>355</v>
      </c>
      <c r="B432" t="s">
        <v>20</v>
      </c>
      <c r="C432" t="s">
        <v>14</v>
      </c>
      <c r="D432" t="s">
        <v>18</v>
      </c>
      <c r="E432">
        <v>138</v>
      </c>
      <c r="F432" s="6">
        <v>6000</v>
      </c>
      <c r="G432" s="6">
        <v>4000</v>
      </c>
      <c r="H432" s="6">
        <v>828000</v>
      </c>
      <c r="I432" s="5">
        <f t="shared" si="6"/>
        <v>276000</v>
      </c>
    </row>
    <row r="433" spans="1:9" x14ac:dyDescent="0.3">
      <c r="A433" t="s">
        <v>356</v>
      </c>
      <c r="B433" t="s">
        <v>30</v>
      </c>
      <c r="C433" t="s">
        <v>26</v>
      </c>
      <c r="D433" t="s">
        <v>15</v>
      </c>
      <c r="E433">
        <v>121</v>
      </c>
      <c r="F433" s="6">
        <v>4000</v>
      </c>
      <c r="G433" s="6">
        <v>3000</v>
      </c>
      <c r="H433" s="6">
        <v>484000</v>
      </c>
      <c r="I433" s="5">
        <f t="shared" si="6"/>
        <v>121000</v>
      </c>
    </row>
    <row r="434" spans="1:9" x14ac:dyDescent="0.3">
      <c r="A434" t="s">
        <v>357</v>
      </c>
      <c r="B434" t="s">
        <v>9</v>
      </c>
      <c r="C434" t="s">
        <v>14</v>
      </c>
      <c r="D434" t="s">
        <v>24</v>
      </c>
      <c r="E434">
        <v>148</v>
      </c>
      <c r="F434" s="6">
        <v>1200</v>
      </c>
      <c r="G434" s="6">
        <v>800</v>
      </c>
      <c r="H434" s="6">
        <v>177600</v>
      </c>
      <c r="I434" s="5">
        <f t="shared" si="6"/>
        <v>59200</v>
      </c>
    </row>
    <row r="435" spans="1:9" x14ac:dyDescent="0.3">
      <c r="A435" t="s">
        <v>318</v>
      </c>
      <c r="B435" t="s">
        <v>9</v>
      </c>
      <c r="C435" t="s">
        <v>26</v>
      </c>
      <c r="D435" t="s">
        <v>21</v>
      </c>
      <c r="E435">
        <v>123</v>
      </c>
      <c r="F435" s="6">
        <v>600</v>
      </c>
      <c r="G435" s="6">
        <v>400</v>
      </c>
      <c r="H435" s="6">
        <v>73800</v>
      </c>
      <c r="I435" s="5">
        <f t="shared" si="6"/>
        <v>24600</v>
      </c>
    </row>
    <row r="436" spans="1:9" x14ac:dyDescent="0.3">
      <c r="A436" t="s">
        <v>358</v>
      </c>
      <c r="B436" t="s">
        <v>28</v>
      </c>
      <c r="C436" t="s">
        <v>17</v>
      </c>
      <c r="D436" t="s">
        <v>31</v>
      </c>
      <c r="E436">
        <v>50</v>
      </c>
      <c r="F436" s="6">
        <v>1000</v>
      </c>
      <c r="G436" s="6">
        <v>700</v>
      </c>
      <c r="H436" s="6">
        <v>50000</v>
      </c>
      <c r="I436" s="5">
        <f t="shared" si="6"/>
        <v>15000</v>
      </c>
    </row>
    <row r="437" spans="1:9" x14ac:dyDescent="0.3">
      <c r="A437" t="s">
        <v>359</v>
      </c>
      <c r="B437" t="s">
        <v>20</v>
      </c>
      <c r="C437" t="s">
        <v>17</v>
      </c>
      <c r="D437" t="s">
        <v>21</v>
      </c>
      <c r="E437">
        <v>74</v>
      </c>
      <c r="F437" s="6">
        <v>600</v>
      </c>
      <c r="G437" s="6">
        <v>400</v>
      </c>
      <c r="H437" s="6">
        <v>44400</v>
      </c>
      <c r="I437" s="5">
        <f t="shared" si="6"/>
        <v>14800</v>
      </c>
    </row>
    <row r="438" spans="1:9" x14ac:dyDescent="0.3">
      <c r="A438" t="s">
        <v>360</v>
      </c>
      <c r="B438" t="s">
        <v>13</v>
      </c>
      <c r="C438" t="s">
        <v>14</v>
      </c>
      <c r="D438" t="s">
        <v>15</v>
      </c>
      <c r="E438">
        <v>108</v>
      </c>
      <c r="F438" s="6">
        <v>4000</v>
      </c>
      <c r="G438" s="6">
        <v>3000</v>
      </c>
      <c r="H438" s="6">
        <v>432000</v>
      </c>
      <c r="I438" s="5">
        <f t="shared" si="6"/>
        <v>108000</v>
      </c>
    </row>
    <row r="439" spans="1:9" x14ac:dyDescent="0.3">
      <c r="A439" t="s">
        <v>175</v>
      </c>
      <c r="B439" t="s">
        <v>9</v>
      </c>
      <c r="C439" t="s">
        <v>17</v>
      </c>
      <c r="D439" t="s">
        <v>31</v>
      </c>
      <c r="E439">
        <v>86</v>
      </c>
      <c r="F439" s="6">
        <v>1000</v>
      </c>
      <c r="G439" s="6">
        <v>700</v>
      </c>
      <c r="H439" s="6">
        <v>86000</v>
      </c>
      <c r="I439" s="5">
        <f t="shared" si="6"/>
        <v>25800</v>
      </c>
    </row>
    <row r="440" spans="1:9" x14ac:dyDescent="0.3">
      <c r="A440" t="s">
        <v>73</v>
      </c>
      <c r="B440" t="s">
        <v>23</v>
      </c>
      <c r="C440" t="s">
        <v>17</v>
      </c>
      <c r="D440" t="s">
        <v>15</v>
      </c>
      <c r="E440">
        <v>150</v>
      </c>
      <c r="F440" s="6">
        <v>4000</v>
      </c>
      <c r="G440" s="6">
        <v>3000</v>
      </c>
      <c r="H440" s="6">
        <v>600000</v>
      </c>
      <c r="I440" s="5">
        <f t="shared" si="6"/>
        <v>150000</v>
      </c>
    </row>
    <row r="441" spans="1:9" x14ac:dyDescent="0.3">
      <c r="A441" t="s">
        <v>95</v>
      </c>
      <c r="B441" t="s">
        <v>58</v>
      </c>
      <c r="C441" t="s">
        <v>17</v>
      </c>
      <c r="D441" t="s">
        <v>31</v>
      </c>
      <c r="E441">
        <v>128</v>
      </c>
      <c r="F441" s="6">
        <v>1000</v>
      </c>
      <c r="G441" s="6">
        <v>700</v>
      </c>
      <c r="H441" s="6">
        <v>128000</v>
      </c>
      <c r="I441" s="5">
        <f t="shared" si="6"/>
        <v>38400</v>
      </c>
    </row>
    <row r="442" spans="1:9" x14ac:dyDescent="0.3">
      <c r="A442" t="s">
        <v>174</v>
      </c>
      <c r="B442" t="s">
        <v>36</v>
      </c>
      <c r="C442" t="s">
        <v>14</v>
      </c>
      <c r="D442" t="s">
        <v>18</v>
      </c>
      <c r="E442">
        <v>53</v>
      </c>
      <c r="F442" s="6">
        <v>6000</v>
      </c>
      <c r="G442" s="6">
        <v>4000</v>
      </c>
      <c r="H442" s="6">
        <v>318000</v>
      </c>
      <c r="I442" s="5">
        <f t="shared" si="6"/>
        <v>106000</v>
      </c>
    </row>
    <row r="443" spans="1:9" x14ac:dyDescent="0.3">
      <c r="A443" t="s">
        <v>361</v>
      </c>
      <c r="B443" t="s">
        <v>20</v>
      </c>
      <c r="C443" t="s">
        <v>10</v>
      </c>
      <c r="D443" t="s">
        <v>11</v>
      </c>
      <c r="E443">
        <v>56</v>
      </c>
      <c r="F443" s="6">
        <v>3500</v>
      </c>
      <c r="G443" s="6">
        <v>2500</v>
      </c>
      <c r="H443" s="6">
        <v>196000</v>
      </c>
      <c r="I443" s="5">
        <f t="shared" si="6"/>
        <v>56000</v>
      </c>
    </row>
    <row r="444" spans="1:9" x14ac:dyDescent="0.3">
      <c r="A444" t="s">
        <v>321</v>
      </c>
      <c r="B444" t="s">
        <v>28</v>
      </c>
      <c r="C444" t="s">
        <v>10</v>
      </c>
      <c r="D444" t="s">
        <v>24</v>
      </c>
      <c r="E444">
        <v>142</v>
      </c>
      <c r="F444" s="6">
        <v>1200</v>
      </c>
      <c r="G444" s="6">
        <v>800</v>
      </c>
      <c r="H444" s="6">
        <v>170400</v>
      </c>
      <c r="I444" s="5">
        <f t="shared" si="6"/>
        <v>56800</v>
      </c>
    </row>
    <row r="445" spans="1:9" x14ac:dyDescent="0.3">
      <c r="A445" t="s">
        <v>310</v>
      </c>
      <c r="B445" t="s">
        <v>13</v>
      </c>
      <c r="C445" t="s">
        <v>17</v>
      </c>
      <c r="D445" t="s">
        <v>21</v>
      </c>
      <c r="E445">
        <v>147</v>
      </c>
      <c r="F445" s="6">
        <v>600</v>
      </c>
      <c r="G445" s="6">
        <v>400</v>
      </c>
      <c r="H445" s="6">
        <v>88200</v>
      </c>
      <c r="I445" s="5">
        <f t="shared" si="6"/>
        <v>29400</v>
      </c>
    </row>
    <row r="446" spans="1:9" x14ac:dyDescent="0.3">
      <c r="A446" t="s">
        <v>139</v>
      </c>
      <c r="B446" t="s">
        <v>36</v>
      </c>
      <c r="C446" t="s">
        <v>14</v>
      </c>
      <c r="D446" t="s">
        <v>31</v>
      </c>
      <c r="E446">
        <v>106</v>
      </c>
      <c r="F446" s="6">
        <v>1000</v>
      </c>
      <c r="G446" s="6">
        <v>700</v>
      </c>
      <c r="H446" s="6">
        <v>106000</v>
      </c>
      <c r="I446" s="5">
        <f t="shared" si="6"/>
        <v>31800</v>
      </c>
    </row>
    <row r="447" spans="1:9" x14ac:dyDescent="0.3">
      <c r="A447" t="s">
        <v>362</v>
      </c>
      <c r="B447" t="s">
        <v>9</v>
      </c>
      <c r="C447" t="s">
        <v>10</v>
      </c>
      <c r="D447" t="s">
        <v>11</v>
      </c>
      <c r="E447">
        <v>147</v>
      </c>
      <c r="F447" s="6">
        <v>3500</v>
      </c>
      <c r="G447" s="6">
        <v>2500</v>
      </c>
      <c r="H447" s="6">
        <v>514500</v>
      </c>
      <c r="I447" s="5">
        <f t="shared" si="6"/>
        <v>147000</v>
      </c>
    </row>
    <row r="448" spans="1:9" x14ac:dyDescent="0.3">
      <c r="A448" t="s">
        <v>189</v>
      </c>
      <c r="B448" t="s">
        <v>20</v>
      </c>
      <c r="C448" t="s">
        <v>10</v>
      </c>
      <c r="D448" t="s">
        <v>21</v>
      </c>
      <c r="E448">
        <v>90</v>
      </c>
      <c r="F448" s="6">
        <v>600</v>
      </c>
      <c r="G448" s="6">
        <v>400</v>
      </c>
      <c r="H448" s="6">
        <v>54000</v>
      </c>
      <c r="I448" s="5">
        <f t="shared" si="6"/>
        <v>18000</v>
      </c>
    </row>
    <row r="449" spans="1:9" x14ac:dyDescent="0.3">
      <c r="A449" t="s">
        <v>358</v>
      </c>
      <c r="B449" t="s">
        <v>13</v>
      </c>
      <c r="C449" t="s">
        <v>10</v>
      </c>
      <c r="D449" t="s">
        <v>24</v>
      </c>
      <c r="E449">
        <v>116</v>
      </c>
      <c r="F449" s="6">
        <v>1200</v>
      </c>
      <c r="G449" s="6">
        <v>800</v>
      </c>
      <c r="H449" s="6">
        <v>139200</v>
      </c>
      <c r="I449" s="5">
        <f t="shared" si="6"/>
        <v>46400</v>
      </c>
    </row>
    <row r="450" spans="1:9" x14ac:dyDescent="0.3">
      <c r="A450" t="s">
        <v>363</v>
      </c>
      <c r="B450" t="s">
        <v>28</v>
      </c>
      <c r="C450" t="s">
        <v>14</v>
      </c>
      <c r="D450" t="s">
        <v>24</v>
      </c>
      <c r="E450">
        <v>69</v>
      </c>
      <c r="F450" s="6">
        <v>1200</v>
      </c>
      <c r="G450" s="6">
        <v>800</v>
      </c>
      <c r="H450" s="6">
        <v>82800</v>
      </c>
      <c r="I450" s="5">
        <f t="shared" ref="I450:I513" si="7">H450-(G450*E450)</f>
        <v>27600</v>
      </c>
    </row>
    <row r="451" spans="1:9" x14ac:dyDescent="0.3">
      <c r="A451" t="s">
        <v>253</v>
      </c>
      <c r="B451" t="s">
        <v>23</v>
      </c>
      <c r="C451" t="s">
        <v>10</v>
      </c>
      <c r="D451" t="s">
        <v>11</v>
      </c>
      <c r="E451">
        <v>145</v>
      </c>
      <c r="F451" s="6">
        <v>3500</v>
      </c>
      <c r="G451" s="6">
        <v>2500</v>
      </c>
      <c r="H451" s="6">
        <v>507500</v>
      </c>
      <c r="I451" s="5">
        <f t="shared" si="7"/>
        <v>145000</v>
      </c>
    </row>
    <row r="452" spans="1:9" x14ac:dyDescent="0.3">
      <c r="A452" t="s">
        <v>364</v>
      </c>
      <c r="B452" t="s">
        <v>30</v>
      </c>
      <c r="C452" t="s">
        <v>10</v>
      </c>
      <c r="D452" t="s">
        <v>24</v>
      </c>
      <c r="E452">
        <v>131</v>
      </c>
      <c r="F452" s="6">
        <v>1200</v>
      </c>
      <c r="G452" s="6">
        <v>800</v>
      </c>
      <c r="H452" s="6">
        <v>157200</v>
      </c>
      <c r="I452" s="5">
        <f t="shared" si="7"/>
        <v>52400</v>
      </c>
    </row>
    <row r="453" spans="1:9" x14ac:dyDescent="0.3">
      <c r="A453" t="s">
        <v>329</v>
      </c>
      <c r="B453" t="s">
        <v>13</v>
      </c>
      <c r="C453" t="s">
        <v>26</v>
      </c>
      <c r="D453" t="s">
        <v>24</v>
      </c>
      <c r="E453">
        <v>72</v>
      </c>
      <c r="F453" s="6">
        <v>1200</v>
      </c>
      <c r="G453" s="6">
        <v>800</v>
      </c>
      <c r="H453" s="6">
        <v>86400</v>
      </c>
      <c r="I453" s="5">
        <f t="shared" si="7"/>
        <v>28800</v>
      </c>
    </row>
    <row r="454" spans="1:9" x14ac:dyDescent="0.3">
      <c r="A454" t="s">
        <v>365</v>
      </c>
      <c r="B454" t="s">
        <v>30</v>
      </c>
      <c r="C454" t="s">
        <v>26</v>
      </c>
      <c r="D454" t="s">
        <v>31</v>
      </c>
      <c r="E454">
        <v>126</v>
      </c>
      <c r="F454" s="6">
        <v>1000</v>
      </c>
      <c r="G454" s="6">
        <v>700</v>
      </c>
      <c r="H454" s="6">
        <v>126000</v>
      </c>
      <c r="I454" s="5">
        <f t="shared" si="7"/>
        <v>37800</v>
      </c>
    </row>
    <row r="455" spans="1:9" x14ac:dyDescent="0.3">
      <c r="A455" t="s">
        <v>366</v>
      </c>
      <c r="B455" t="s">
        <v>58</v>
      </c>
      <c r="C455" t="s">
        <v>26</v>
      </c>
      <c r="D455" t="s">
        <v>11</v>
      </c>
      <c r="E455">
        <v>74</v>
      </c>
      <c r="F455" s="6">
        <v>3500</v>
      </c>
      <c r="G455" s="6">
        <v>2500</v>
      </c>
      <c r="H455" s="6">
        <v>259000</v>
      </c>
      <c r="I455" s="5">
        <f t="shared" si="7"/>
        <v>74000</v>
      </c>
    </row>
    <row r="456" spans="1:9" x14ac:dyDescent="0.3">
      <c r="A456" t="s">
        <v>367</v>
      </c>
      <c r="B456" t="s">
        <v>23</v>
      </c>
      <c r="C456" t="s">
        <v>10</v>
      </c>
      <c r="D456" t="s">
        <v>11</v>
      </c>
      <c r="E456">
        <v>121</v>
      </c>
      <c r="F456" s="6">
        <v>3500</v>
      </c>
      <c r="G456" s="6">
        <v>2500</v>
      </c>
      <c r="H456" s="6">
        <v>423500</v>
      </c>
      <c r="I456" s="5">
        <f t="shared" si="7"/>
        <v>121000</v>
      </c>
    </row>
    <row r="457" spans="1:9" x14ac:dyDescent="0.3">
      <c r="A457" t="s">
        <v>368</v>
      </c>
      <c r="B457" t="s">
        <v>30</v>
      </c>
      <c r="C457" t="s">
        <v>17</v>
      </c>
      <c r="D457" t="s">
        <v>21</v>
      </c>
      <c r="E457">
        <v>141</v>
      </c>
      <c r="F457" s="6">
        <v>600</v>
      </c>
      <c r="G457" s="6">
        <v>400</v>
      </c>
      <c r="H457" s="6">
        <v>84600</v>
      </c>
      <c r="I457" s="5">
        <f t="shared" si="7"/>
        <v>28200</v>
      </c>
    </row>
    <row r="458" spans="1:9" x14ac:dyDescent="0.3">
      <c r="A458" t="s">
        <v>369</v>
      </c>
      <c r="B458" t="s">
        <v>23</v>
      </c>
      <c r="C458" t="s">
        <v>26</v>
      </c>
      <c r="D458" t="s">
        <v>24</v>
      </c>
      <c r="E458">
        <v>120</v>
      </c>
      <c r="F458" s="6">
        <v>1200</v>
      </c>
      <c r="G458" s="6">
        <v>800</v>
      </c>
      <c r="H458" s="6">
        <v>144000</v>
      </c>
      <c r="I458" s="5">
        <f t="shared" si="7"/>
        <v>48000</v>
      </c>
    </row>
    <row r="459" spans="1:9" x14ac:dyDescent="0.3">
      <c r="A459" t="s">
        <v>370</v>
      </c>
      <c r="B459" t="s">
        <v>13</v>
      </c>
      <c r="C459" t="s">
        <v>17</v>
      </c>
      <c r="D459" t="s">
        <v>11</v>
      </c>
      <c r="E459">
        <v>104</v>
      </c>
      <c r="F459" s="6">
        <v>3500</v>
      </c>
      <c r="G459" s="6">
        <v>2500</v>
      </c>
      <c r="H459" s="6">
        <v>364000</v>
      </c>
      <c r="I459" s="5">
        <f t="shared" si="7"/>
        <v>104000</v>
      </c>
    </row>
    <row r="460" spans="1:9" x14ac:dyDescent="0.3">
      <c r="A460" t="s">
        <v>371</v>
      </c>
      <c r="B460" t="s">
        <v>28</v>
      </c>
      <c r="C460" t="s">
        <v>17</v>
      </c>
      <c r="D460" t="s">
        <v>21</v>
      </c>
      <c r="E460">
        <v>72</v>
      </c>
      <c r="F460" s="6">
        <v>600</v>
      </c>
      <c r="G460" s="6">
        <v>400</v>
      </c>
      <c r="H460" s="6">
        <v>43200</v>
      </c>
      <c r="I460" s="5">
        <f t="shared" si="7"/>
        <v>14400</v>
      </c>
    </row>
    <row r="461" spans="1:9" x14ac:dyDescent="0.3">
      <c r="A461" t="s">
        <v>153</v>
      </c>
      <c r="B461" t="s">
        <v>36</v>
      </c>
      <c r="C461" t="s">
        <v>17</v>
      </c>
      <c r="D461" t="s">
        <v>18</v>
      </c>
      <c r="E461">
        <v>118</v>
      </c>
      <c r="F461" s="6">
        <v>6000</v>
      </c>
      <c r="G461" s="6">
        <v>4000</v>
      </c>
      <c r="H461" s="6">
        <v>708000</v>
      </c>
      <c r="I461" s="5">
        <f t="shared" si="7"/>
        <v>236000</v>
      </c>
    </row>
    <row r="462" spans="1:9" x14ac:dyDescent="0.3">
      <c r="A462" t="s">
        <v>263</v>
      </c>
      <c r="B462" t="s">
        <v>9</v>
      </c>
      <c r="C462" t="s">
        <v>26</v>
      </c>
      <c r="D462" t="s">
        <v>24</v>
      </c>
      <c r="E462">
        <v>83</v>
      </c>
      <c r="F462" s="6">
        <v>1200</v>
      </c>
      <c r="G462" s="6">
        <v>800</v>
      </c>
      <c r="H462" s="6">
        <v>99600</v>
      </c>
      <c r="I462" s="5">
        <f t="shared" si="7"/>
        <v>33200</v>
      </c>
    </row>
    <row r="463" spans="1:9" x14ac:dyDescent="0.3">
      <c r="A463" t="s">
        <v>337</v>
      </c>
      <c r="B463" t="s">
        <v>30</v>
      </c>
      <c r="C463" t="s">
        <v>14</v>
      </c>
      <c r="D463" t="s">
        <v>18</v>
      </c>
      <c r="E463">
        <v>54</v>
      </c>
      <c r="F463" s="6">
        <v>6000</v>
      </c>
      <c r="G463" s="6">
        <v>4000</v>
      </c>
      <c r="H463" s="6">
        <v>324000</v>
      </c>
      <c r="I463" s="5">
        <f t="shared" si="7"/>
        <v>108000</v>
      </c>
    </row>
    <row r="464" spans="1:9" x14ac:dyDescent="0.3">
      <c r="A464" t="s">
        <v>296</v>
      </c>
      <c r="B464" t="s">
        <v>9</v>
      </c>
      <c r="C464" t="s">
        <v>14</v>
      </c>
      <c r="D464" t="s">
        <v>15</v>
      </c>
      <c r="E464">
        <v>61</v>
      </c>
      <c r="F464" s="6">
        <v>4000</v>
      </c>
      <c r="G464" s="6">
        <v>3000</v>
      </c>
      <c r="H464" s="6">
        <v>244000</v>
      </c>
      <c r="I464" s="5">
        <f t="shared" si="7"/>
        <v>61000</v>
      </c>
    </row>
    <row r="465" spans="1:9" x14ac:dyDescent="0.3">
      <c r="A465" t="s">
        <v>372</v>
      </c>
      <c r="B465" t="s">
        <v>9</v>
      </c>
      <c r="C465" t="s">
        <v>17</v>
      </c>
      <c r="D465" t="s">
        <v>15</v>
      </c>
      <c r="E465">
        <v>52</v>
      </c>
      <c r="F465" s="6">
        <v>4000</v>
      </c>
      <c r="G465" s="6">
        <v>3000</v>
      </c>
      <c r="H465" s="6">
        <v>208000</v>
      </c>
      <c r="I465" s="5">
        <f t="shared" si="7"/>
        <v>52000</v>
      </c>
    </row>
    <row r="466" spans="1:9" x14ac:dyDescent="0.3">
      <c r="A466" t="s">
        <v>373</v>
      </c>
      <c r="B466" t="s">
        <v>9</v>
      </c>
      <c r="C466" t="s">
        <v>17</v>
      </c>
      <c r="D466" t="s">
        <v>31</v>
      </c>
      <c r="E466">
        <v>123</v>
      </c>
      <c r="F466" s="6">
        <v>1000</v>
      </c>
      <c r="G466" s="6">
        <v>700</v>
      </c>
      <c r="H466" s="6">
        <v>123000</v>
      </c>
      <c r="I466" s="5">
        <f t="shared" si="7"/>
        <v>36900</v>
      </c>
    </row>
    <row r="467" spans="1:9" x14ac:dyDescent="0.3">
      <c r="A467" t="s">
        <v>374</v>
      </c>
      <c r="B467" t="s">
        <v>40</v>
      </c>
      <c r="C467" t="s">
        <v>10</v>
      </c>
      <c r="D467" t="s">
        <v>18</v>
      </c>
      <c r="E467">
        <v>73</v>
      </c>
      <c r="F467" s="6">
        <v>6000</v>
      </c>
      <c r="G467" s="6">
        <v>4000</v>
      </c>
      <c r="H467" s="6">
        <v>438000</v>
      </c>
      <c r="I467" s="5">
        <f t="shared" si="7"/>
        <v>146000</v>
      </c>
    </row>
    <row r="468" spans="1:9" x14ac:dyDescent="0.3">
      <c r="A468" t="s">
        <v>375</v>
      </c>
      <c r="B468" t="s">
        <v>23</v>
      </c>
      <c r="C468" t="s">
        <v>10</v>
      </c>
      <c r="D468" t="s">
        <v>18</v>
      </c>
      <c r="E468">
        <v>58</v>
      </c>
      <c r="F468" s="6">
        <v>6000</v>
      </c>
      <c r="G468" s="6">
        <v>4000</v>
      </c>
      <c r="H468" s="6">
        <v>348000</v>
      </c>
      <c r="I468" s="5">
        <f t="shared" si="7"/>
        <v>116000</v>
      </c>
    </row>
    <row r="469" spans="1:9" x14ac:dyDescent="0.3">
      <c r="A469" t="s">
        <v>298</v>
      </c>
      <c r="B469" t="s">
        <v>58</v>
      </c>
      <c r="C469" t="s">
        <v>14</v>
      </c>
      <c r="D469" t="s">
        <v>34</v>
      </c>
      <c r="E469">
        <v>144</v>
      </c>
      <c r="F469" s="6">
        <v>10000</v>
      </c>
      <c r="G469" s="6">
        <v>7000</v>
      </c>
      <c r="H469" s="6">
        <v>1440000</v>
      </c>
      <c r="I469" s="5">
        <f t="shared" si="7"/>
        <v>432000</v>
      </c>
    </row>
    <row r="470" spans="1:9" x14ac:dyDescent="0.3">
      <c r="A470" t="s">
        <v>194</v>
      </c>
      <c r="B470" t="s">
        <v>13</v>
      </c>
      <c r="C470" t="s">
        <v>17</v>
      </c>
      <c r="D470" t="s">
        <v>34</v>
      </c>
      <c r="E470">
        <v>122</v>
      </c>
      <c r="F470" s="6">
        <v>10000</v>
      </c>
      <c r="G470" s="6">
        <v>7000</v>
      </c>
      <c r="H470" s="6">
        <v>1220000</v>
      </c>
      <c r="I470" s="5">
        <f t="shared" si="7"/>
        <v>366000</v>
      </c>
    </row>
    <row r="471" spans="1:9" x14ac:dyDescent="0.3">
      <c r="A471" t="s">
        <v>16</v>
      </c>
      <c r="B471" t="s">
        <v>23</v>
      </c>
      <c r="C471" t="s">
        <v>26</v>
      </c>
      <c r="D471" t="s">
        <v>34</v>
      </c>
      <c r="E471">
        <v>82</v>
      </c>
      <c r="F471" s="6">
        <v>10000</v>
      </c>
      <c r="G471" s="6">
        <v>7000</v>
      </c>
      <c r="H471" s="6">
        <v>820000</v>
      </c>
      <c r="I471" s="5">
        <f t="shared" si="7"/>
        <v>246000</v>
      </c>
    </row>
    <row r="472" spans="1:9" x14ac:dyDescent="0.3">
      <c r="A472" t="s">
        <v>376</v>
      </c>
      <c r="B472" t="s">
        <v>13</v>
      </c>
      <c r="C472" t="s">
        <v>14</v>
      </c>
      <c r="D472" t="s">
        <v>31</v>
      </c>
      <c r="E472">
        <v>86</v>
      </c>
      <c r="F472" s="6">
        <v>1000</v>
      </c>
      <c r="G472" s="6">
        <v>700</v>
      </c>
      <c r="H472" s="6">
        <v>86000</v>
      </c>
      <c r="I472" s="5">
        <f t="shared" si="7"/>
        <v>25800</v>
      </c>
    </row>
    <row r="473" spans="1:9" x14ac:dyDescent="0.3">
      <c r="A473" t="s">
        <v>377</v>
      </c>
      <c r="B473" t="s">
        <v>40</v>
      </c>
      <c r="C473" t="s">
        <v>10</v>
      </c>
      <c r="D473" t="s">
        <v>31</v>
      </c>
      <c r="E473">
        <v>91</v>
      </c>
      <c r="F473" s="6">
        <v>1000</v>
      </c>
      <c r="G473" s="6">
        <v>700</v>
      </c>
      <c r="H473" s="6">
        <v>91000</v>
      </c>
      <c r="I473" s="5">
        <f t="shared" si="7"/>
        <v>27300</v>
      </c>
    </row>
    <row r="474" spans="1:9" x14ac:dyDescent="0.3">
      <c r="A474" t="s">
        <v>106</v>
      </c>
      <c r="B474" t="s">
        <v>9</v>
      </c>
      <c r="C474" t="s">
        <v>10</v>
      </c>
      <c r="D474" t="s">
        <v>11</v>
      </c>
      <c r="E474">
        <v>92</v>
      </c>
      <c r="F474" s="6">
        <v>3500</v>
      </c>
      <c r="G474" s="6">
        <v>2500</v>
      </c>
      <c r="H474" s="6">
        <v>322000</v>
      </c>
      <c r="I474" s="5">
        <f t="shared" si="7"/>
        <v>92000</v>
      </c>
    </row>
    <row r="475" spans="1:9" x14ac:dyDescent="0.3">
      <c r="A475" t="s">
        <v>148</v>
      </c>
      <c r="B475" t="s">
        <v>30</v>
      </c>
      <c r="C475" t="s">
        <v>10</v>
      </c>
      <c r="D475" t="s">
        <v>15</v>
      </c>
      <c r="E475">
        <v>71</v>
      </c>
      <c r="F475" s="6">
        <v>4000</v>
      </c>
      <c r="G475" s="6">
        <v>3000</v>
      </c>
      <c r="H475" s="6">
        <v>284000</v>
      </c>
      <c r="I475" s="5">
        <f t="shared" si="7"/>
        <v>71000</v>
      </c>
    </row>
    <row r="476" spans="1:9" x14ac:dyDescent="0.3">
      <c r="A476" t="s">
        <v>378</v>
      </c>
      <c r="B476" t="s">
        <v>13</v>
      </c>
      <c r="C476" t="s">
        <v>10</v>
      </c>
      <c r="D476" t="s">
        <v>24</v>
      </c>
      <c r="E476">
        <v>113</v>
      </c>
      <c r="F476" s="6">
        <v>1200</v>
      </c>
      <c r="G476" s="6">
        <v>800</v>
      </c>
      <c r="H476" s="6">
        <v>135600</v>
      </c>
      <c r="I476" s="5">
        <f t="shared" si="7"/>
        <v>45200</v>
      </c>
    </row>
    <row r="477" spans="1:9" x14ac:dyDescent="0.3">
      <c r="A477" t="s">
        <v>378</v>
      </c>
      <c r="B477" t="s">
        <v>23</v>
      </c>
      <c r="C477" t="s">
        <v>17</v>
      </c>
      <c r="D477" t="s">
        <v>31</v>
      </c>
      <c r="E477">
        <v>108</v>
      </c>
      <c r="F477" s="6">
        <v>1000</v>
      </c>
      <c r="G477" s="6">
        <v>700</v>
      </c>
      <c r="H477" s="6">
        <v>108000</v>
      </c>
      <c r="I477" s="5">
        <f t="shared" si="7"/>
        <v>32400</v>
      </c>
    </row>
    <row r="478" spans="1:9" x14ac:dyDescent="0.3">
      <c r="A478" t="s">
        <v>280</v>
      </c>
      <c r="B478" t="s">
        <v>40</v>
      </c>
      <c r="C478" t="s">
        <v>14</v>
      </c>
      <c r="D478" t="s">
        <v>31</v>
      </c>
      <c r="E478">
        <v>149</v>
      </c>
      <c r="F478" s="6">
        <v>1000</v>
      </c>
      <c r="G478" s="6">
        <v>700</v>
      </c>
      <c r="H478" s="6">
        <v>149000</v>
      </c>
      <c r="I478" s="5">
        <f t="shared" si="7"/>
        <v>44700</v>
      </c>
    </row>
    <row r="479" spans="1:9" x14ac:dyDescent="0.3">
      <c r="A479" t="s">
        <v>379</v>
      </c>
      <c r="B479" t="s">
        <v>58</v>
      </c>
      <c r="C479" t="s">
        <v>14</v>
      </c>
      <c r="D479" t="s">
        <v>31</v>
      </c>
      <c r="E479">
        <v>58</v>
      </c>
      <c r="F479" s="6">
        <v>1000</v>
      </c>
      <c r="G479" s="6">
        <v>700</v>
      </c>
      <c r="H479" s="6">
        <v>58000</v>
      </c>
      <c r="I479" s="5">
        <f t="shared" si="7"/>
        <v>17400</v>
      </c>
    </row>
    <row r="480" spans="1:9" x14ac:dyDescent="0.3">
      <c r="A480" t="s">
        <v>380</v>
      </c>
      <c r="B480" t="s">
        <v>23</v>
      </c>
      <c r="C480" t="s">
        <v>26</v>
      </c>
      <c r="D480" t="s">
        <v>18</v>
      </c>
      <c r="E480">
        <v>138</v>
      </c>
      <c r="F480" s="6">
        <v>6000</v>
      </c>
      <c r="G480" s="6">
        <v>4000</v>
      </c>
      <c r="H480" s="6">
        <v>828000</v>
      </c>
      <c r="I480" s="5">
        <f t="shared" si="7"/>
        <v>276000</v>
      </c>
    </row>
    <row r="481" spans="1:9" x14ac:dyDescent="0.3">
      <c r="A481" t="s">
        <v>222</v>
      </c>
      <c r="B481" t="s">
        <v>43</v>
      </c>
      <c r="C481" t="s">
        <v>17</v>
      </c>
      <c r="D481" t="s">
        <v>11</v>
      </c>
      <c r="E481">
        <v>145</v>
      </c>
      <c r="F481" s="6">
        <v>3500</v>
      </c>
      <c r="G481" s="6">
        <v>2500</v>
      </c>
      <c r="H481" s="6">
        <v>507500</v>
      </c>
      <c r="I481" s="5">
        <f t="shared" si="7"/>
        <v>145000</v>
      </c>
    </row>
    <row r="482" spans="1:9" x14ac:dyDescent="0.3">
      <c r="A482" t="s">
        <v>55</v>
      </c>
      <c r="B482" t="s">
        <v>23</v>
      </c>
      <c r="C482" t="s">
        <v>17</v>
      </c>
      <c r="D482" t="s">
        <v>24</v>
      </c>
      <c r="E482">
        <v>78</v>
      </c>
      <c r="F482" s="6">
        <v>1200</v>
      </c>
      <c r="G482" s="6">
        <v>800</v>
      </c>
      <c r="H482" s="6">
        <v>93600</v>
      </c>
      <c r="I482" s="5">
        <f t="shared" si="7"/>
        <v>31200</v>
      </c>
    </row>
    <row r="483" spans="1:9" x14ac:dyDescent="0.3">
      <c r="A483" t="s">
        <v>381</v>
      </c>
      <c r="B483" t="s">
        <v>43</v>
      </c>
      <c r="C483" t="s">
        <v>17</v>
      </c>
      <c r="D483" t="s">
        <v>18</v>
      </c>
      <c r="E483">
        <v>135</v>
      </c>
      <c r="F483" s="6">
        <v>6000</v>
      </c>
      <c r="G483" s="6">
        <v>4000</v>
      </c>
      <c r="H483" s="6">
        <v>810000</v>
      </c>
      <c r="I483" s="5">
        <f t="shared" si="7"/>
        <v>270000</v>
      </c>
    </row>
    <row r="484" spans="1:9" x14ac:dyDescent="0.3">
      <c r="A484" t="s">
        <v>382</v>
      </c>
      <c r="B484" t="s">
        <v>23</v>
      </c>
      <c r="C484" t="s">
        <v>10</v>
      </c>
      <c r="D484" t="s">
        <v>24</v>
      </c>
      <c r="E484">
        <v>68</v>
      </c>
      <c r="F484" s="6">
        <v>1200</v>
      </c>
      <c r="G484" s="6">
        <v>800</v>
      </c>
      <c r="H484" s="6">
        <v>81600</v>
      </c>
      <c r="I484" s="5">
        <f t="shared" si="7"/>
        <v>27200</v>
      </c>
    </row>
    <row r="485" spans="1:9" x14ac:dyDescent="0.3">
      <c r="A485" t="s">
        <v>147</v>
      </c>
      <c r="B485" t="s">
        <v>28</v>
      </c>
      <c r="C485" t="s">
        <v>26</v>
      </c>
      <c r="D485" t="s">
        <v>15</v>
      </c>
      <c r="E485">
        <v>53</v>
      </c>
      <c r="F485" s="6">
        <v>4000</v>
      </c>
      <c r="G485" s="6">
        <v>3000</v>
      </c>
      <c r="H485" s="6">
        <v>212000</v>
      </c>
      <c r="I485" s="5">
        <f t="shared" si="7"/>
        <v>53000</v>
      </c>
    </row>
    <row r="486" spans="1:9" x14ac:dyDescent="0.3">
      <c r="A486" t="s">
        <v>200</v>
      </c>
      <c r="B486" t="s">
        <v>40</v>
      </c>
      <c r="C486" t="s">
        <v>26</v>
      </c>
      <c r="D486" t="s">
        <v>11</v>
      </c>
      <c r="E486">
        <v>85</v>
      </c>
      <c r="F486" s="6">
        <v>3500</v>
      </c>
      <c r="G486" s="6">
        <v>2500</v>
      </c>
      <c r="H486" s="6">
        <v>297500</v>
      </c>
      <c r="I486" s="5">
        <f t="shared" si="7"/>
        <v>85000</v>
      </c>
    </row>
    <row r="487" spans="1:9" x14ac:dyDescent="0.3">
      <c r="A487" t="s">
        <v>383</v>
      </c>
      <c r="B487" t="s">
        <v>30</v>
      </c>
      <c r="C487" t="s">
        <v>14</v>
      </c>
      <c r="D487" t="s">
        <v>15</v>
      </c>
      <c r="E487">
        <v>84</v>
      </c>
      <c r="F487" s="6">
        <v>4000</v>
      </c>
      <c r="G487" s="6">
        <v>3000</v>
      </c>
      <c r="H487" s="6">
        <v>336000</v>
      </c>
      <c r="I487" s="5">
        <f t="shared" si="7"/>
        <v>84000</v>
      </c>
    </row>
    <row r="488" spans="1:9" x14ac:dyDescent="0.3">
      <c r="A488" t="s">
        <v>341</v>
      </c>
      <c r="B488" t="s">
        <v>30</v>
      </c>
      <c r="C488" t="s">
        <v>17</v>
      </c>
      <c r="D488" t="s">
        <v>24</v>
      </c>
      <c r="E488">
        <v>130</v>
      </c>
      <c r="F488" s="6">
        <v>1200</v>
      </c>
      <c r="G488" s="6">
        <v>800</v>
      </c>
      <c r="H488" s="6">
        <v>156000</v>
      </c>
      <c r="I488" s="5">
        <f t="shared" si="7"/>
        <v>52000</v>
      </c>
    </row>
    <row r="489" spans="1:9" x14ac:dyDescent="0.3">
      <c r="A489" t="s">
        <v>384</v>
      </c>
      <c r="B489" t="s">
        <v>20</v>
      </c>
      <c r="C489" t="s">
        <v>10</v>
      </c>
      <c r="D489" t="s">
        <v>34</v>
      </c>
      <c r="E489">
        <v>115</v>
      </c>
      <c r="F489" s="6">
        <v>10000</v>
      </c>
      <c r="G489" s="6">
        <v>7000</v>
      </c>
      <c r="H489" s="6">
        <v>1150000</v>
      </c>
      <c r="I489" s="5">
        <f t="shared" si="7"/>
        <v>345000</v>
      </c>
    </row>
    <row r="490" spans="1:9" x14ac:dyDescent="0.3">
      <c r="A490" t="s">
        <v>385</v>
      </c>
      <c r="B490" t="s">
        <v>23</v>
      </c>
      <c r="C490" t="s">
        <v>26</v>
      </c>
      <c r="D490" t="s">
        <v>34</v>
      </c>
      <c r="E490">
        <v>91</v>
      </c>
      <c r="F490" s="6">
        <v>10000</v>
      </c>
      <c r="G490" s="6">
        <v>7000</v>
      </c>
      <c r="H490" s="6">
        <v>910000</v>
      </c>
      <c r="I490" s="5">
        <f t="shared" si="7"/>
        <v>273000</v>
      </c>
    </row>
    <row r="491" spans="1:9" x14ac:dyDescent="0.3">
      <c r="A491" t="s">
        <v>236</v>
      </c>
      <c r="B491" t="s">
        <v>58</v>
      </c>
      <c r="C491" t="s">
        <v>17</v>
      </c>
      <c r="D491" t="s">
        <v>24</v>
      </c>
      <c r="E491">
        <v>122</v>
      </c>
      <c r="F491" s="6">
        <v>1200</v>
      </c>
      <c r="G491" s="6">
        <v>800</v>
      </c>
      <c r="H491" s="6">
        <v>146400</v>
      </c>
      <c r="I491" s="5">
        <f t="shared" si="7"/>
        <v>48800</v>
      </c>
    </row>
    <row r="492" spans="1:9" x14ac:dyDescent="0.3">
      <c r="A492" t="s">
        <v>386</v>
      </c>
      <c r="B492" t="s">
        <v>23</v>
      </c>
      <c r="C492" t="s">
        <v>14</v>
      </c>
      <c r="D492" t="s">
        <v>18</v>
      </c>
      <c r="E492">
        <v>56</v>
      </c>
      <c r="F492" s="6">
        <v>6000</v>
      </c>
      <c r="G492" s="6">
        <v>4000</v>
      </c>
      <c r="H492" s="6">
        <v>336000</v>
      </c>
      <c r="I492" s="5">
        <f t="shared" si="7"/>
        <v>112000</v>
      </c>
    </row>
    <row r="493" spans="1:9" x14ac:dyDescent="0.3">
      <c r="A493" t="s">
        <v>387</v>
      </c>
      <c r="B493" t="s">
        <v>13</v>
      </c>
      <c r="C493" t="s">
        <v>14</v>
      </c>
      <c r="D493" t="s">
        <v>31</v>
      </c>
      <c r="E493">
        <v>145</v>
      </c>
      <c r="F493" s="6">
        <v>1000</v>
      </c>
      <c r="G493" s="6">
        <v>700</v>
      </c>
      <c r="H493" s="6">
        <v>145000</v>
      </c>
      <c r="I493" s="5">
        <f t="shared" si="7"/>
        <v>43500</v>
      </c>
    </row>
    <row r="494" spans="1:9" x14ac:dyDescent="0.3">
      <c r="A494" t="s">
        <v>278</v>
      </c>
      <c r="B494" t="s">
        <v>58</v>
      </c>
      <c r="C494" t="s">
        <v>17</v>
      </c>
      <c r="D494" t="s">
        <v>18</v>
      </c>
      <c r="E494">
        <v>53</v>
      </c>
      <c r="F494" s="6">
        <v>6000</v>
      </c>
      <c r="G494" s="6">
        <v>4000</v>
      </c>
      <c r="H494" s="6">
        <v>318000</v>
      </c>
      <c r="I494" s="5">
        <f t="shared" si="7"/>
        <v>106000</v>
      </c>
    </row>
    <row r="495" spans="1:9" x14ac:dyDescent="0.3">
      <c r="A495" t="s">
        <v>200</v>
      </c>
      <c r="B495" t="s">
        <v>30</v>
      </c>
      <c r="C495" t="s">
        <v>26</v>
      </c>
      <c r="D495" t="s">
        <v>21</v>
      </c>
      <c r="E495">
        <v>132</v>
      </c>
      <c r="F495" s="6">
        <v>600</v>
      </c>
      <c r="G495" s="6">
        <v>400</v>
      </c>
      <c r="H495" s="6">
        <v>79200</v>
      </c>
      <c r="I495" s="5">
        <f t="shared" si="7"/>
        <v>26400</v>
      </c>
    </row>
    <row r="496" spans="1:9" x14ac:dyDescent="0.3">
      <c r="A496" t="s">
        <v>388</v>
      </c>
      <c r="B496" t="s">
        <v>58</v>
      </c>
      <c r="C496" t="s">
        <v>10</v>
      </c>
      <c r="D496" t="s">
        <v>31</v>
      </c>
      <c r="E496">
        <v>97</v>
      </c>
      <c r="F496" s="6">
        <v>1000</v>
      </c>
      <c r="G496" s="6">
        <v>700</v>
      </c>
      <c r="H496" s="6">
        <v>97000</v>
      </c>
      <c r="I496" s="5">
        <f t="shared" si="7"/>
        <v>29100</v>
      </c>
    </row>
    <row r="497" spans="1:9" x14ac:dyDescent="0.3">
      <c r="A497" t="s">
        <v>115</v>
      </c>
      <c r="B497" t="s">
        <v>9</v>
      </c>
      <c r="C497" t="s">
        <v>10</v>
      </c>
      <c r="D497" t="s">
        <v>15</v>
      </c>
      <c r="E497">
        <v>140</v>
      </c>
      <c r="F497" s="6">
        <v>4000</v>
      </c>
      <c r="G497" s="6">
        <v>3000</v>
      </c>
      <c r="H497" s="6">
        <v>560000</v>
      </c>
      <c r="I497" s="5">
        <f t="shared" si="7"/>
        <v>140000</v>
      </c>
    </row>
    <row r="498" spans="1:9" x14ac:dyDescent="0.3">
      <c r="A498" t="s">
        <v>338</v>
      </c>
      <c r="B498" t="s">
        <v>20</v>
      </c>
      <c r="C498" t="s">
        <v>14</v>
      </c>
      <c r="D498" t="s">
        <v>31</v>
      </c>
      <c r="E498">
        <v>104</v>
      </c>
      <c r="F498" s="6">
        <v>1000</v>
      </c>
      <c r="G498" s="6">
        <v>700</v>
      </c>
      <c r="H498" s="6">
        <v>104000</v>
      </c>
      <c r="I498" s="5">
        <f t="shared" si="7"/>
        <v>31200</v>
      </c>
    </row>
    <row r="499" spans="1:9" x14ac:dyDescent="0.3">
      <c r="A499" t="s">
        <v>389</v>
      </c>
      <c r="B499" t="s">
        <v>30</v>
      </c>
      <c r="C499" t="s">
        <v>17</v>
      </c>
      <c r="D499" t="s">
        <v>18</v>
      </c>
      <c r="E499">
        <v>141</v>
      </c>
      <c r="F499" s="6">
        <v>6000</v>
      </c>
      <c r="G499" s="6">
        <v>4000</v>
      </c>
      <c r="H499" s="6">
        <v>846000</v>
      </c>
      <c r="I499" s="5">
        <f t="shared" si="7"/>
        <v>282000</v>
      </c>
    </row>
    <row r="500" spans="1:9" x14ac:dyDescent="0.3">
      <c r="A500" t="s">
        <v>203</v>
      </c>
      <c r="B500" t="s">
        <v>20</v>
      </c>
      <c r="C500" t="s">
        <v>17</v>
      </c>
      <c r="D500" t="s">
        <v>21</v>
      </c>
      <c r="E500">
        <v>147</v>
      </c>
      <c r="F500" s="6">
        <v>600</v>
      </c>
      <c r="G500" s="6">
        <v>400</v>
      </c>
      <c r="H500" s="6">
        <v>88200</v>
      </c>
      <c r="I500" s="5">
        <f t="shared" si="7"/>
        <v>29400</v>
      </c>
    </row>
    <row r="501" spans="1:9" x14ac:dyDescent="0.3">
      <c r="A501" t="s">
        <v>390</v>
      </c>
      <c r="B501" t="s">
        <v>13</v>
      </c>
      <c r="C501" t="s">
        <v>26</v>
      </c>
      <c r="D501" t="s">
        <v>34</v>
      </c>
      <c r="E501">
        <v>121</v>
      </c>
      <c r="F501" s="6">
        <v>10000</v>
      </c>
      <c r="G501" s="6">
        <v>7000</v>
      </c>
      <c r="H501" s="6">
        <v>1210000</v>
      </c>
      <c r="I501" s="5">
        <f t="shared" si="7"/>
        <v>363000</v>
      </c>
    </row>
    <row r="502" spans="1:9" x14ac:dyDescent="0.3">
      <c r="A502" t="s">
        <v>391</v>
      </c>
      <c r="B502" t="s">
        <v>28</v>
      </c>
      <c r="C502" t="s">
        <v>17</v>
      </c>
      <c r="D502" t="s">
        <v>34</v>
      </c>
      <c r="E502">
        <v>88</v>
      </c>
      <c r="F502" s="6">
        <v>10000</v>
      </c>
      <c r="G502" s="6">
        <v>7000</v>
      </c>
      <c r="H502" s="6">
        <v>880000</v>
      </c>
      <c r="I502" s="5">
        <f t="shared" si="7"/>
        <v>264000</v>
      </c>
    </row>
    <row r="503" spans="1:9" x14ac:dyDescent="0.3">
      <c r="A503" t="s">
        <v>79</v>
      </c>
      <c r="B503" t="s">
        <v>43</v>
      </c>
      <c r="C503" t="s">
        <v>17</v>
      </c>
      <c r="D503" t="s">
        <v>31</v>
      </c>
      <c r="E503">
        <v>109</v>
      </c>
      <c r="F503" s="6">
        <v>1000</v>
      </c>
      <c r="G503" s="6">
        <v>700</v>
      </c>
      <c r="H503" s="6">
        <v>109000</v>
      </c>
      <c r="I503" s="5">
        <f t="shared" si="7"/>
        <v>32700</v>
      </c>
    </row>
    <row r="504" spans="1:9" x14ac:dyDescent="0.3">
      <c r="A504" t="s">
        <v>339</v>
      </c>
      <c r="B504" t="s">
        <v>30</v>
      </c>
      <c r="C504" t="s">
        <v>14</v>
      </c>
      <c r="D504" t="s">
        <v>11</v>
      </c>
      <c r="E504">
        <v>64</v>
      </c>
      <c r="F504" s="6">
        <v>3500</v>
      </c>
      <c r="G504" s="6">
        <v>2500</v>
      </c>
      <c r="H504" s="6">
        <v>224000</v>
      </c>
      <c r="I504" s="5">
        <f t="shared" si="7"/>
        <v>64000</v>
      </c>
    </row>
    <row r="505" spans="1:9" x14ac:dyDescent="0.3">
      <c r="A505" t="s">
        <v>247</v>
      </c>
      <c r="B505" t="s">
        <v>30</v>
      </c>
      <c r="C505" t="s">
        <v>10</v>
      </c>
      <c r="D505" t="s">
        <v>18</v>
      </c>
      <c r="E505">
        <v>81</v>
      </c>
      <c r="F505" s="6">
        <v>6000</v>
      </c>
      <c r="G505" s="6">
        <v>4000</v>
      </c>
      <c r="H505" s="6">
        <v>486000</v>
      </c>
      <c r="I505" s="5">
        <f t="shared" si="7"/>
        <v>162000</v>
      </c>
    </row>
    <row r="506" spans="1:9" x14ac:dyDescent="0.3">
      <c r="A506" t="s">
        <v>181</v>
      </c>
      <c r="B506" t="s">
        <v>28</v>
      </c>
      <c r="C506" t="s">
        <v>14</v>
      </c>
      <c r="D506" t="s">
        <v>18</v>
      </c>
      <c r="E506">
        <v>135</v>
      </c>
      <c r="F506" s="6">
        <v>6000</v>
      </c>
      <c r="G506" s="6">
        <v>4000</v>
      </c>
      <c r="H506" s="6">
        <v>810000</v>
      </c>
      <c r="I506" s="5">
        <f t="shared" si="7"/>
        <v>270000</v>
      </c>
    </row>
    <row r="507" spans="1:9" x14ac:dyDescent="0.3">
      <c r="A507" t="s">
        <v>375</v>
      </c>
      <c r="B507" t="s">
        <v>28</v>
      </c>
      <c r="C507" t="s">
        <v>17</v>
      </c>
      <c r="D507" t="s">
        <v>24</v>
      </c>
      <c r="E507">
        <v>114</v>
      </c>
      <c r="F507" s="6">
        <v>1200</v>
      </c>
      <c r="G507" s="6">
        <v>800</v>
      </c>
      <c r="H507" s="6">
        <v>136800</v>
      </c>
      <c r="I507" s="5">
        <f t="shared" si="7"/>
        <v>45600</v>
      </c>
    </row>
    <row r="508" spans="1:9" x14ac:dyDescent="0.3">
      <c r="A508" t="s">
        <v>61</v>
      </c>
      <c r="B508" t="s">
        <v>43</v>
      </c>
      <c r="C508" t="s">
        <v>17</v>
      </c>
      <c r="D508" t="s">
        <v>31</v>
      </c>
      <c r="E508">
        <v>126</v>
      </c>
      <c r="F508" s="6">
        <v>1000</v>
      </c>
      <c r="G508" s="6">
        <v>700</v>
      </c>
      <c r="H508" s="6">
        <v>126000</v>
      </c>
      <c r="I508" s="5">
        <f t="shared" si="7"/>
        <v>37800</v>
      </c>
    </row>
    <row r="509" spans="1:9" x14ac:dyDescent="0.3">
      <c r="A509" t="s">
        <v>392</v>
      </c>
      <c r="B509" t="s">
        <v>23</v>
      </c>
      <c r="C509" t="s">
        <v>10</v>
      </c>
      <c r="D509" t="s">
        <v>24</v>
      </c>
      <c r="E509">
        <v>67</v>
      </c>
      <c r="F509" s="6">
        <v>1200</v>
      </c>
      <c r="G509" s="6">
        <v>800</v>
      </c>
      <c r="H509" s="6">
        <v>80400</v>
      </c>
      <c r="I509" s="5">
        <f t="shared" si="7"/>
        <v>26800</v>
      </c>
    </row>
    <row r="510" spans="1:9" x14ac:dyDescent="0.3">
      <c r="A510" t="s">
        <v>318</v>
      </c>
      <c r="B510" t="s">
        <v>13</v>
      </c>
      <c r="C510" t="s">
        <v>14</v>
      </c>
      <c r="D510" t="s">
        <v>24</v>
      </c>
      <c r="E510">
        <v>91</v>
      </c>
      <c r="F510" s="6">
        <v>1200</v>
      </c>
      <c r="G510" s="6">
        <v>800</v>
      </c>
      <c r="H510" s="6">
        <v>109200</v>
      </c>
      <c r="I510" s="5">
        <f t="shared" si="7"/>
        <v>36400</v>
      </c>
    </row>
    <row r="511" spans="1:9" x14ac:dyDescent="0.3">
      <c r="A511" t="s">
        <v>393</v>
      </c>
      <c r="B511" t="s">
        <v>43</v>
      </c>
      <c r="C511" t="s">
        <v>10</v>
      </c>
      <c r="D511" t="s">
        <v>21</v>
      </c>
      <c r="E511">
        <v>116</v>
      </c>
      <c r="F511" s="6">
        <v>600</v>
      </c>
      <c r="G511" s="6">
        <v>400</v>
      </c>
      <c r="H511" s="6">
        <v>69600</v>
      </c>
      <c r="I511" s="5">
        <f t="shared" si="7"/>
        <v>23200</v>
      </c>
    </row>
    <row r="512" spans="1:9" x14ac:dyDescent="0.3">
      <c r="A512" t="s">
        <v>394</v>
      </c>
      <c r="B512" t="s">
        <v>20</v>
      </c>
      <c r="C512" t="s">
        <v>26</v>
      </c>
      <c r="D512" t="s">
        <v>21</v>
      </c>
      <c r="E512">
        <v>53</v>
      </c>
      <c r="F512" s="6">
        <v>600</v>
      </c>
      <c r="G512" s="6">
        <v>400</v>
      </c>
      <c r="H512" s="6">
        <v>31800</v>
      </c>
      <c r="I512" s="5">
        <f t="shared" si="7"/>
        <v>10600</v>
      </c>
    </row>
    <row r="513" spans="1:9" x14ac:dyDescent="0.3">
      <c r="A513" t="s">
        <v>97</v>
      </c>
      <c r="B513" t="s">
        <v>36</v>
      </c>
      <c r="C513" t="s">
        <v>14</v>
      </c>
      <c r="D513" t="s">
        <v>15</v>
      </c>
      <c r="E513">
        <v>138</v>
      </c>
      <c r="F513" s="6">
        <v>4000</v>
      </c>
      <c r="G513" s="6">
        <v>3000</v>
      </c>
      <c r="H513" s="6">
        <v>552000</v>
      </c>
      <c r="I513" s="5">
        <f t="shared" si="7"/>
        <v>138000</v>
      </c>
    </row>
    <row r="514" spans="1:9" x14ac:dyDescent="0.3">
      <c r="A514" t="s">
        <v>395</v>
      </c>
      <c r="B514" t="s">
        <v>20</v>
      </c>
      <c r="C514" t="s">
        <v>14</v>
      </c>
      <c r="D514" t="s">
        <v>24</v>
      </c>
      <c r="E514">
        <v>55</v>
      </c>
      <c r="F514" s="6">
        <v>1200</v>
      </c>
      <c r="G514" s="6">
        <v>800</v>
      </c>
      <c r="H514" s="6">
        <v>66000</v>
      </c>
      <c r="I514" s="5">
        <f t="shared" ref="I514:I577" si="8">H514-(G514*E514)</f>
        <v>22000</v>
      </c>
    </row>
    <row r="515" spans="1:9" x14ac:dyDescent="0.3">
      <c r="A515" t="s">
        <v>306</v>
      </c>
      <c r="B515" t="s">
        <v>30</v>
      </c>
      <c r="C515" t="s">
        <v>17</v>
      </c>
      <c r="D515" t="s">
        <v>34</v>
      </c>
      <c r="E515">
        <v>106</v>
      </c>
      <c r="F515" s="6">
        <v>10000</v>
      </c>
      <c r="G515" s="6">
        <v>7000</v>
      </c>
      <c r="H515" s="6">
        <v>1060000</v>
      </c>
      <c r="I515" s="5">
        <f t="shared" si="8"/>
        <v>318000</v>
      </c>
    </row>
    <row r="516" spans="1:9" x14ac:dyDescent="0.3">
      <c r="A516" t="s">
        <v>391</v>
      </c>
      <c r="B516" t="s">
        <v>28</v>
      </c>
      <c r="C516" t="s">
        <v>10</v>
      </c>
      <c r="D516" t="s">
        <v>15</v>
      </c>
      <c r="E516">
        <v>76</v>
      </c>
      <c r="F516" s="6">
        <v>4000</v>
      </c>
      <c r="G516" s="6">
        <v>3000</v>
      </c>
      <c r="H516" s="6">
        <v>304000</v>
      </c>
      <c r="I516" s="5">
        <f t="shared" si="8"/>
        <v>76000</v>
      </c>
    </row>
    <row r="517" spans="1:9" x14ac:dyDescent="0.3">
      <c r="A517" t="s">
        <v>194</v>
      </c>
      <c r="B517" t="s">
        <v>13</v>
      </c>
      <c r="C517" t="s">
        <v>14</v>
      </c>
      <c r="D517" t="s">
        <v>11</v>
      </c>
      <c r="E517">
        <v>50</v>
      </c>
      <c r="F517" s="6">
        <v>3500</v>
      </c>
      <c r="G517" s="6">
        <v>2500</v>
      </c>
      <c r="H517" s="6">
        <v>175000</v>
      </c>
      <c r="I517" s="5">
        <f t="shared" si="8"/>
        <v>50000</v>
      </c>
    </row>
    <row r="518" spans="1:9" x14ac:dyDescent="0.3">
      <c r="A518" t="s">
        <v>396</v>
      </c>
      <c r="B518" t="s">
        <v>13</v>
      </c>
      <c r="C518" t="s">
        <v>14</v>
      </c>
      <c r="D518" t="s">
        <v>15</v>
      </c>
      <c r="E518">
        <v>106</v>
      </c>
      <c r="F518" s="6">
        <v>4000</v>
      </c>
      <c r="G518" s="6">
        <v>3000</v>
      </c>
      <c r="H518" s="6">
        <v>424000</v>
      </c>
      <c r="I518" s="5">
        <f t="shared" si="8"/>
        <v>106000</v>
      </c>
    </row>
    <row r="519" spans="1:9" x14ac:dyDescent="0.3">
      <c r="A519" t="s">
        <v>397</v>
      </c>
      <c r="B519" t="s">
        <v>13</v>
      </c>
      <c r="C519" t="s">
        <v>14</v>
      </c>
      <c r="D519" t="s">
        <v>18</v>
      </c>
      <c r="E519">
        <v>120</v>
      </c>
      <c r="F519" s="6">
        <v>6000</v>
      </c>
      <c r="G519" s="6">
        <v>4000</v>
      </c>
      <c r="H519" s="6">
        <v>720000</v>
      </c>
      <c r="I519" s="5">
        <f t="shared" si="8"/>
        <v>240000</v>
      </c>
    </row>
    <row r="520" spans="1:9" x14ac:dyDescent="0.3">
      <c r="A520" t="s">
        <v>331</v>
      </c>
      <c r="B520" t="s">
        <v>36</v>
      </c>
      <c r="C520" t="s">
        <v>26</v>
      </c>
      <c r="D520" t="s">
        <v>18</v>
      </c>
      <c r="E520">
        <v>138</v>
      </c>
      <c r="F520" s="6">
        <v>6000</v>
      </c>
      <c r="G520" s="6">
        <v>4000</v>
      </c>
      <c r="H520" s="6">
        <v>828000</v>
      </c>
      <c r="I520" s="5">
        <f t="shared" si="8"/>
        <v>276000</v>
      </c>
    </row>
    <row r="521" spans="1:9" x14ac:dyDescent="0.3">
      <c r="A521" t="s">
        <v>82</v>
      </c>
      <c r="B521" t="s">
        <v>43</v>
      </c>
      <c r="C521" t="s">
        <v>17</v>
      </c>
      <c r="D521" t="s">
        <v>18</v>
      </c>
      <c r="E521">
        <v>98</v>
      </c>
      <c r="F521" s="6">
        <v>6000</v>
      </c>
      <c r="G521" s="6">
        <v>4000</v>
      </c>
      <c r="H521" s="6">
        <v>588000</v>
      </c>
      <c r="I521" s="5">
        <f t="shared" si="8"/>
        <v>196000</v>
      </c>
    </row>
    <row r="522" spans="1:9" x14ac:dyDescent="0.3">
      <c r="A522" t="s">
        <v>389</v>
      </c>
      <c r="B522" t="s">
        <v>28</v>
      </c>
      <c r="C522" t="s">
        <v>17</v>
      </c>
      <c r="D522" t="s">
        <v>18</v>
      </c>
      <c r="E522">
        <v>147</v>
      </c>
      <c r="F522" s="6">
        <v>6000</v>
      </c>
      <c r="G522" s="6">
        <v>4000</v>
      </c>
      <c r="H522" s="6">
        <v>882000</v>
      </c>
      <c r="I522" s="5">
        <f t="shared" si="8"/>
        <v>294000</v>
      </c>
    </row>
    <row r="523" spans="1:9" x14ac:dyDescent="0.3">
      <c r="A523" t="s">
        <v>162</v>
      </c>
      <c r="B523" t="s">
        <v>40</v>
      </c>
      <c r="C523" t="s">
        <v>10</v>
      </c>
      <c r="D523" t="s">
        <v>34</v>
      </c>
      <c r="E523">
        <v>93</v>
      </c>
      <c r="F523" s="6">
        <v>10000</v>
      </c>
      <c r="G523" s="6">
        <v>7000</v>
      </c>
      <c r="H523" s="6">
        <v>930000</v>
      </c>
      <c r="I523" s="5">
        <f t="shared" si="8"/>
        <v>279000</v>
      </c>
    </row>
    <row r="524" spans="1:9" x14ac:dyDescent="0.3">
      <c r="A524" t="s">
        <v>51</v>
      </c>
      <c r="B524" t="s">
        <v>9</v>
      </c>
      <c r="C524" t="s">
        <v>26</v>
      </c>
      <c r="D524" t="s">
        <v>31</v>
      </c>
      <c r="E524">
        <v>149</v>
      </c>
      <c r="F524" s="6">
        <v>1000</v>
      </c>
      <c r="G524" s="6">
        <v>700</v>
      </c>
      <c r="H524" s="6">
        <v>149000</v>
      </c>
      <c r="I524" s="5">
        <f t="shared" si="8"/>
        <v>44700</v>
      </c>
    </row>
    <row r="525" spans="1:9" x14ac:dyDescent="0.3">
      <c r="A525" t="s">
        <v>321</v>
      </c>
      <c r="B525" t="s">
        <v>23</v>
      </c>
      <c r="C525" t="s">
        <v>10</v>
      </c>
      <c r="D525" t="s">
        <v>21</v>
      </c>
      <c r="E525">
        <v>79</v>
      </c>
      <c r="F525" s="6">
        <v>600</v>
      </c>
      <c r="G525" s="6">
        <v>400</v>
      </c>
      <c r="H525" s="6">
        <v>47400</v>
      </c>
      <c r="I525" s="5">
        <f t="shared" si="8"/>
        <v>15800</v>
      </c>
    </row>
    <row r="526" spans="1:9" x14ac:dyDescent="0.3">
      <c r="A526" t="s">
        <v>398</v>
      </c>
      <c r="B526" t="s">
        <v>30</v>
      </c>
      <c r="C526" t="s">
        <v>17</v>
      </c>
      <c r="D526" t="s">
        <v>21</v>
      </c>
      <c r="E526">
        <v>71</v>
      </c>
      <c r="F526" s="6">
        <v>600</v>
      </c>
      <c r="G526" s="6">
        <v>400</v>
      </c>
      <c r="H526" s="6">
        <v>42600</v>
      </c>
      <c r="I526" s="5">
        <f t="shared" si="8"/>
        <v>14200</v>
      </c>
    </row>
    <row r="527" spans="1:9" x14ac:dyDescent="0.3">
      <c r="A527" t="s">
        <v>399</v>
      </c>
      <c r="B527" t="s">
        <v>13</v>
      </c>
      <c r="C527" t="s">
        <v>26</v>
      </c>
      <c r="D527" t="s">
        <v>31</v>
      </c>
      <c r="E527">
        <v>130</v>
      </c>
      <c r="F527" s="6">
        <v>1000</v>
      </c>
      <c r="G527" s="6">
        <v>700</v>
      </c>
      <c r="H527" s="6">
        <v>130000</v>
      </c>
      <c r="I527" s="5">
        <f t="shared" si="8"/>
        <v>39000</v>
      </c>
    </row>
    <row r="528" spans="1:9" x14ac:dyDescent="0.3">
      <c r="A528" t="s">
        <v>90</v>
      </c>
      <c r="B528" t="s">
        <v>30</v>
      </c>
      <c r="C528" t="s">
        <v>17</v>
      </c>
      <c r="D528" t="s">
        <v>24</v>
      </c>
      <c r="E528">
        <v>76</v>
      </c>
      <c r="F528" s="6">
        <v>1200</v>
      </c>
      <c r="G528" s="6">
        <v>800</v>
      </c>
      <c r="H528" s="6">
        <v>91200</v>
      </c>
      <c r="I528" s="5">
        <f t="shared" si="8"/>
        <v>30400</v>
      </c>
    </row>
    <row r="529" spans="1:9" x14ac:dyDescent="0.3">
      <c r="A529" t="s">
        <v>400</v>
      </c>
      <c r="B529" t="s">
        <v>58</v>
      </c>
      <c r="C529" t="s">
        <v>17</v>
      </c>
      <c r="D529" t="s">
        <v>11</v>
      </c>
      <c r="E529">
        <v>81</v>
      </c>
      <c r="F529" s="6">
        <v>3500</v>
      </c>
      <c r="G529" s="6">
        <v>2500</v>
      </c>
      <c r="H529" s="6">
        <v>283500</v>
      </c>
      <c r="I529" s="5">
        <f t="shared" si="8"/>
        <v>81000</v>
      </c>
    </row>
    <row r="530" spans="1:9" x14ac:dyDescent="0.3">
      <c r="A530" t="s">
        <v>401</v>
      </c>
      <c r="B530" t="s">
        <v>36</v>
      </c>
      <c r="C530" t="s">
        <v>14</v>
      </c>
      <c r="D530" t="s">
        <v>21</v>
      </c>
      <c r="E530">
        <v>84</v>
      </c>
      <c r="F530" s="6">
        <v>600</v>
      </c>
      <c r="G530" s="6">
        <v>400</v>
      </c>
      <c r="H530" s="6">
        <v>50400</v>
      </c>
      <c r="I530" s="5">
        <f t="shared" si="8"/>
        <v>16800</v>
      </c>
    </row>
    <row r="531" spans="1:9" x14ac:dyDescent="0.3">
      <c r="A531" t="s">
        <v>254</v>
      </c>
      <c r="B531" t="s">
        <v>13</v>
      </c>
      <c r="C531" t="s">
        <v>10</v>
      </c>
      <c r="D531" t="s">
        <v>34</v>
      </c>
      <c r="E531">
        <v>126</v>
      </c>
      <c r="F531" s="6">
        <v>10000</v>
      </c>
      <c r="G531" s="6">
        <v>7000</v>
      </c>
      <c r="H531" s="6">
        <v>1260000</v>
      </c>
      <c r="I531" s="5">
        <f t="shared" si="8"/>
        <v>378000</v>
      </c>
    </row>
    <row r="532" spans="1:9" x14ac:dyDescent="0.3">
      <c r="A532" t="s">
        <v>71</v>
      </c>
      <c r="B532" t="s">
        <v>43</v>
      </c>
      <c r="C532" t="s">
        <v>26</v>
      </c>
      <c r="D532" t="s">
        <v>21</v>
      </c>
      <c r="E532">
        <v>90</v>
      </c>
      <c r="F532" s="6">
        <v>600</v>
      </c>
      <c r="G532" s="6">
        <v>400</v>
      </c>
      <c r="H532" s="6">
        <v>54000</v>
      </c>
      <c r="I532" s="5">
        <f t="shared" si="8"/>
        <v>18000</v>
      </c>
    </row>
    <row r="533" spans="1:9" x14ac:dyDescent="0.3">
      <c r="A533" t="s">
        <v>402</v>
      </c>
      <c r="B533" t="s">
        <v>58</v>
      </c>
      <c r="C533" t="s">
        <v>17</v>
      </c>
      <c r="D533" t="s">
        <v>24</v>
      </c>
      <c r="E533">
        <v>67</v>
      </c>
      <c r="F533" s="6">
        <v>1200</v>
      </c>
      <c r="G533" s="6">
        <v>800</v>
      </c>
      <c r="H533" s="6">
        <v>80400</v>
      </c>
      <c r="I533" s="5">
        <f t="shared" si="8"/>
        <v>26800</v>
      </c>
    </row>
    <row r="534" spans="1:9" x14ac:dyDescent="0.3">
      <c r="A534" t="s">
        <v>403</v>
      </c>
      <c r="B534" t="s">
        <v>9</v>
      </c>
      <c r="C534" t="s">
        <v>10</v>
      </c>
      <c r="D534" t="s">
        <v>11</v>
      </c>
      <c r="E534">
        <v>62</v>
      </c>
      <c r="F534" s="6">
        <v>3500</v>
      </c>
      <c r="G534" s="6">
        <v>2500</v>
      </c>
      <c r="H534" s="6">
        <v>217000</v>
      </c>
      <c r="I534" s="5">
        <f t="shared" si="8"/>
        <v>62000</v>
      </c>
    </row>
    <row r="535" spans="1:9" x14ac:dyDescent="0.3">
      <c r="A535" t="s">
        <v>404</v>
      </c>
      <c r="B535" t="s">
        <v>43</v>
      </c>
      <c r="C535" t="s">
        <v>26</v>
      </c>
      <c r="D535" t="s">
        <v>34</v>
      </c>
      <c r="E535">
        <v>149</v>
      </c>
      <c r="F535" s="6">
        <v>10000</v>
      </c>
      <c r="G535" s="6">
        <v>7000</v>
      </c>
      <c r="H535" s="6">
        <v>1490000</v>
      </c>
      <c r="I535" s="5">
        <f t="shared" si="8"/>
        <v>447000</v>
      </c>
    </row>
    <row r="536" spans="1:9" x14ac:dyDescent="0.3">
      <c r="A536" t="s">
        <v>405</v>
      </c>
      <c r="B536" t="s">
        <v>20</v>
      </c>
      <c r="C536" t="s">
        <v>17</v>
      </c>
      <c r="D536" t="s">
        <v>15</v>
      </c>
      <c r="E536">
        <v>135</v>
      </c>
      <c r="F536" s="6">
        <v>4000</v>
      </c>
      <c r="G536" s="6">
        <v>3000</v>
      </c>
      <c r="H536" s="6">
        <v>540000</v>
      </c>
      <c r="I536" s="5">
        <f t="shared" si="8"/>
        <v>135000</v>
      </c>
    </row>
    <row r="537" spans="1:9" x14ac:dyDescent="0.3">
      <c r="A537" t="s">
        <v>406</v>
      </c>
      <c r="B537" t="s">
        <v>30</v>
      </c>
      <c r="C537" t="s">
        <v>14</v>
      </c>
      <c r="D537" t="s">
        <v>31</v>
      </c>
      <c r="E537">
        <v>88</v>
      </c>
      <c r="F537" s="6">
        <v>1000</v>
      </c>
      <c r="G537" s="6">
        <v>700</v>
      </c>
      <c r="H537" s="6">
        <v>88000</v>
      </c>
      <c r="I537" s="5">
        <f t="shared" si="8"/>
        <v>26400</v>
      </c>
    </row>
    <row r="538" spans="1:9" x14ac:dyDescent="0.3">
      <c r="A538" t="s">
        <v>373</v>
      </c>
      <c r="B538" t="s">
        <v>23</v>
      </c>
      <c r="C538" t="s">
        <v>17</v>
      </c>
      <c r="D538" t="s">
        <v>31</v>
      </c>
      <c r="E538">
        <v>139</v>
      </c>
      <c r="F538" s="6">
        <v>1000</v>
      </c>
      <c r="G538" s="6">
        <v>700</v>
      </c>
      <c r="H538" s="6">
        <v>139000</v>
      </c>
      <c r="I538" s="5">
        <f t="shared" si="8"/>
        <v>41700</v>
      </c>
    </row>
    <row r="539" spans="1:9" x14ac:dyDescent="0.3">
      <c r="A539" t="s">
        <v>204</v>
      </c>
      <c r="B539" t="s">
        <v>13</v>
      </c>
      <c r="C539" t="s">
        <v>14</v>
      </c>
      <c r="D539" t="s">
        <v>24</v>
      </c>
      <c r="E539">
        <v>129</v>
      </c>
      <c r="F539" s="6">
        <v>1200</v>
      </c>
      <c r="G539" s="6">
        <v>800</v>
      </c>
      <c r="H539" s="6">
        <v>154800</v>
      </c>
      <c r="I539" s="5">
        <f t="shared" si="8"/>
        <v>51600</v>
      </c>
    </row>
    <row r="540" spans="1:9" x14ac:dyDescent="0.3">
      <c r="A540" t="s">
        <v>407</v>
      </c>
      <c r="B540" t="s">
        <v>23</v>
      </c>
      <c r="C540" t="s">
        <v>17</v>
      </c>
      <c r="D540" t="s">
        <v>11</v>
      </c>
      <c r="E540">
        <v>66</v>
      </c>
      <c r="F540" s="6">
        <v>3500</v>
      </c>
      <c r="G540" s="6">
        <v>2500</v>
      </c>
      <c r="H540" s="6">
        <v>231000</v>
      </c>
      <c r="I540" s="5">
        <f t="shared" si="8"/>
        <v>66000</v>
      </c>
    </row>
    <row r="541" spans="1:9" x14ac:dyDescent="0.3">
      <c r="A541" t="s">
        <v>408</v>
      </c>
      <c r="B541" t="s">
        <v>58</v>
      </c>
      <c r="C541" t="s">
        <v>17</v>
      </c>
      <c r="D541" t="s">
        <v>24</v>
      </c>
      <c r="E541">
        <v>56</v>
      </c>
      <c r="F541" s="6">
        <v>1200</v>
      </c>
      <c r="G541" s="6">
        <v>800</v>
      </c>
      <c r="H541" s="6">
        <v>67200</v>
      </c>
      <c r="I541" s="5">
        <f t="shared" si="8"/>
        <v>22400</v>
      </c>
    </row>
    <row r="542" spans="1:9" x14ac:dyDescent="0.3">
      <c r="A542" t="s">
        <v>409</v>
      </c>
      <c r="B542" t="s">
        <v>30</v>
      </c>
      <c r="C542" t="s">
        <v>26</v>
      </c>
      <c r="D542" t="s">
        <v>34</v>
      </c>
      <c r="E542">
        <v>77</v>
      </c>
      <c r="F542" s="6">
        <v>10000</v>
      </c>
      <c r="G542" s="6">
        <v>7000</v>
      </c>
      <c r="H542" s="6">
        <v>770000</v>
      </c>
      <c r="I542" s="5">
        <f t="shared" si="8"/>
        <v>231000</v>
      </c>
    </row>
    <row r="543" spans="1:9" x14ac:dyDescent="0.3">
      <c r="A543" t="s">
        <v>410</v>
      </c>
      <c r="B543" t="s">
        <v>30</v>
      </c>
      <c r="C543" t="s">
        <v>26</v>
      </c>
      <c r="D543" t="s">
        <v>21</v>
      </c>
      <c r="E543">
        <v>107</v>
      </c>
      <c r="F543" s="6">
        <v>600</v>
      </c>
      <c r="G543" s="6">
        <v>400</v>
      </c>
      <c r="H543" s="6">
        <v>64200</v>
      </c>
      <c r="I543" s="5">
        <f t="shared" si="8"/>
        <v>21400</v>
      </c>
    </row>
    <row r="544" spans="1:9" x14ac:dyDescent="0.3">
      <c r="A544" t="s">
        <v>411</v>
      </c>
      <c r="B544" t="s">
        <v>40</v>
      </c>
      <c r="C544" t="s">
        <v>26</v>
      </c>
      <c r="D544" t="s">
        <v>15</v>
      </c>
      <c r="E544">
        <v>77</v>
      </c>
      <c r="F544" s="6">
        <v>4000</v>
      </c>
      <c r="G544" s="6">
        <v>3000</v>
      </c>
      <c r="H544" s="6">
        <v>308000</v>
      </c>
      <c r="I544" s="5">
        <f t="shared" si="8"/>
        <v>77000</v>
      </c>
    </row>
    <row r="545" spans="1:9" x14ac:dyDescent="0.3">
      <c r="A545" t="s">
        <v>412</v>
      </c>
      <c r="B545" t="s">
        <v>13</v>
      </c>
      <c r="C545" t="s">
        <v>26</v>
      </c>
      <c r="D545" t="s">
        <v>31</v>
      </c>
      <c r="E545">
        <v>146</v>
      </c>
      <c r="F545" s="6">
        <v>1000</v>
      </c>
      <c r="G545" s="6">
        <v>700</v>
      </c>
      <c r="H545" s="6">
        <v>146000</v>
      </c>
      <c r="I545" s="5">
        <f t="shared" si="8"/>
        <v>43800</v>
      </c>
    </row>
    <row r="546" spans="1:9" x14ac:dyDescent="0.3">
      <c r="A546" t="s">
        <v>413</v>
      </c>
      <c r="B546" t="s">
        <v>40</v>
      </c>
      <c r="C546" t="s">
        <v>26</v>
      </c>
      <c r="D546" t="s">
        <v>34</v>
      </c>
      <c r="E546">
        <v>53</v>
      </c>
      <c r="F546" s="6">
        <v>10000</v>
      </c>
      <c r="G546" s="6">
        <v>7000</v>
      </c>
      <c r="H546" s="6">
        <v>530000</v>
      </c>
      <c r="I546" s="5">
        <f t="shared" si="8"/>
        <v>159000</v>
      </c>
    </row>
    <row r="547" spans="1:9" x14ac:dyDescent="0.3">
      <c r="A547" t="s">
        <v>414</v>
      </c>
      <c r="B547" t="s">
        <v>36</v>
      </c>
      <c r="C547" t="s">
        <v>10</v>
      </c>
      <c r="D547" t="s">
        <v>21</v>
      </c>
      <c r="E547">
        <v>115</v>
      </c>
      <c r="F547" s="6">
        <v>600</v>
      </c>
      <c r="G547" s="6">
        <v>400</v>
      </c>
      <c r="H547" s="6">
        <v>69000</v>
      </c>
      <c r="I547" s="5">
        <f t="shared" si="8"/>
        <v>23000</v>
      </c>
    </row>
    <row r="548" spans="1:9" x14ac:dyDescent="0.3">
      <c r="A548" t="s">
        <v>415</v>
      </c>
      <c r="B548" t="s">
        <v>30</v>
      </c>
      <c r="C548" t="s">
        <v>10</v>
      </c>
      <c r="D548" t="s">
        <v>24</v>
      </c>
      <c r="E548">
        <v>120</v>
      </c>
      <c r="F548" s="6">
        <v>1200</v>
      </c>
      <c r="G548" s="6">
        <v>800</v>
      </c>
      <c r="H548" s="6">
        <v>144000</v>
      </c>
      <c r="I548" s="5">
        <f t="shared" si="8"/>
        <v>48000</v>
      </c>
    </row>
    <row r="549" spans="1:9" x14ac:dyDescent="0.3">
      <c r="A549" t="s">
        <v>416</v>
      </c>
      <c r="B549" t="s">
        <v>36</v>
      </c>
      <c r="C549" t="s">
        <v>14</v>
      </c>
      <c r="D549" t="s">
        <v>11</v>
      </c>
      <c r="E549">
        <v>69</v>
      </c>
      <c r="F549" s="6">
        <v>3500</v>
      </c>
      <c r="G549" s="6">
        <v>2500</v>
      </c>
      <c r="H549" s="6">
        <v>241500</v>
      </c>
      <c r="I549" s="5">
        <f t="shared" si="8"/>
        <v>69000</v>
      </c>
    </row>
    <row r="550" spans="1:9" x14ac:dyDescent="0.3">
      <c r="A550" t="s">
        <v>417</v>
      </c>
      <c r="B550" t="s">
        <v>13</v>
      </c>
      <c r="C550" t="s">
        <v>17</v>
      </c>
      <c r="D550" t="s">
        <v>34</v>
      </c>
      <c r="E550">
        <v>122</v>
      </c>
      <c r="F550" s="6">
        <v>10000</v>
      </c>
      <c r="G550" s="6">
        <v>7000</v>
      </c>
      <c r="H550" s="6">
        <v>1220000</v>
      </c>
      <c r="I550" s="5">
        <f t="shared" si="8"/>
        <v>366000</v>
      </c>
    </row>
    <row r="551" spans="1:9" x14ac:dyDescent="0.3">
      <c r="A551" t="s">
        <v>418</v>
      </c>
      <c r="B551" t="s">
        <v>40</v>
      </c>
      <c r="C551" t="s">
        <v>26</v>
      </c>
      <c r="D551" t="s">
        <v>31</v>
      </c>
      <c r="E551">
        <v>68</v>
      </c>
      <c r="F551" s="6">
        <v>1000</v>
      </c>
      <c r="G551" s="6">
        <v>700</v>
      </c>
      <c r="H551" s="6">
        <v>68000</v>
      </c>
      <c r="I551" s="5">
        <f t="shared" si="8"/>
        <v>20400</v>
      </c>
    </row>
    <row r="552" spans="1:9" x14ac:dyDescent="0.3">
      <c r="A552" t="s">
        <v>419</v>
      </c>
      <c r="B552" t="s">
        <v>28</v>
      </c>
      <c r="C552" t="s">
        <v>17</v>
      </c>
      <c r="D552" t="s">
        <v>11</v>
      </c>
      <c r="E552">
        <v>61</v>
      </c>
      <c r="F552" s="6">
        <v>3500</v>
      </c>
      <c r="G552" s="6">
        <v>2500</v>
      </c>
      <c r="H552" s="6">
        <v>213500</v>
      </c>
      <c r="I552" s="5">
        <f t="shared" si="8"/>
        <v>61000</v>
      </c>
    </row>
    <row r="553" spans="1:9" x14ac:dyDescent="0.3">
      <c r="A553" t="s">
        <v>420</v>
      </c>
      <c r="B553" t="s">
        <v>58</v>
      </c>
      <c r="C553" t="s">
        <v>17</v>
      </c>
      <c r="D553" t="s">
        <v>18</v>
      </c>
      <c r="E553">
        <v>50</v>
      </c>
      <c r="F553" s="6">
        <v>6000</v>
      </c>
      <c r="G553" s="6">
        <v>4000</v>
      </c>
      <c r="H553" s="6">
        <v>300000</v>
      </c>
      <c r="I553" s="5">
        <f t="shared" si="8"/>
        <v>100000</v>
      </c>
    </row>
    <row r="554" spans="1:9" x14ac:dyDescent="0.3">
      <c r="A554" t="s">
        <v>421</v>
      </c>
      <c r="B554" t="s">
        <v>13</v>
      </c>
      <c r="C554" t="s">
        <v>17</v>
      </c>
      <c r="D554" t="s">
        <v>31</v>
      </c>
      <c r="E554">
        <v>124</v>
      </c>
      <c r="F554" s="6">
        <v>1000</v>
      </c>
      <c r="G554" s="6">
        <v>700</v>
      </c>
      <c r="H554" s="6">
        <v>124000</v>
      </c>
      <c r="I554" s="5">
        <f t="shared" si="8"/>
        <v>37200</v>
      </c>
    </row>
    <row r="555" spans="1:9" x14ac:dyDescent="0.3">
      <c r="A555" t="s">
        <v>422</v>
      </c>
      <c r="B555" t="s">
        <v>9</v>
      </c>
      <c r="C555" t="s">
        <v>26</v>
      </c>
      <c r="D555" t="s">
        <v>11</v>
      </c>
      <c r="E555">
        <v>129</v>
      </c>
      <c r="F555" s="6">
        <v>3500</v>
      </c>
      <c r="G555" s="6">
        <v>2500</v>
      </c>
      <c r="H555" s="6">
        <v>451500</v>
      </c>
      <c r="I555" s="5">
        <f t="shared" si="8"/>
        <v>129000</v>
      </c>
    </row>
    <row r="556" spans="1:9" x14ac:dyDescent="0.3">
      <c r="A556" t="s">
        <v>423</v>
      </c>
      <c r="B556" t="s">
        <v>43</v>
      </c>
      <c r="C556" t="s">
        <v>10</v>
      </c>
      <c r="D556" t="s">
        <v>18</v>
      </c>
      <c r="E556">
        <v>118</v>
      </c>
      <c r="F556" s="6">
        <v>6000</v>
      </c>
      <c r="G556" s="6">
        <v>4000</v>
      </c>
      <c r="H556" s="6">
        <v>708000</v>
      </c>
      <c r="I556" s="5">
        <f t="shared" si="8"/>
        <v>236000</v>
      </c>
    </row>
    <row r="557" spans="1:9" x14ac:dyDescent="0.3">
      <c r="A557" t="s">
        <v>424</v>
      </c>
      <c r="B557" t="s">
        <v>20</v>
      </c>
      <c r="C557" t="s">
        <v>14</v>
      </c>
      <c r="D557" t="s">
        <v>24</v>
      </c>
      <c r="E557">
        <v>94</v>
      </c>
      <c r="F557" s="6">
        <v>1200</v>
      </c>
      <c r="G557" s="6">
        <v>800</v>
      </c>
      <c r="H557" s="6">
        <v>112800</v>
      </c>
      <c r="I557" s="5">
        <f t="shared" si="8"/>
        <v>37600</v>
      </c>
    </row>
    <row r="558" spans="1:9" x14ac:dyDescent="0.3">
      <c r="A558" t="s">
        <v>104</v>
      </c>
      <c r="B558" t="s">
        <v>30</v>
      </c>
      <c r="C558" t="s">
        <v>14</v>
      </c>
      <c r="D558" t="s">
        <v>34</v>
      </c>
      <c r="E558">
        <v>88</v>
      </c>
      <c r="F558" s="6">
        <v>10000</v>
      </c>
      <c r="G558" s="6">
        <v>7000</v>
      </c>
      <c r="H558" s="6">
        <v>880000</v>
      </c>
      <c r="I558" s="5">
        <f t="shared" si="8"/>
        <v>264000</v>
      </c>
    </row>
    <row r="559" spans="1:9" x14ac:dyDescent="0.3">
      <c r="A559" t="s">
        <v>341</v>
      </c>
      <c r="B559" t="s">
        <v>40</v>
      </c>
      <c r="C559" t="s">
        <v>10</v>
      </c>
      <c r="D559" t="s">
        <v>24</v>
      </c>
      <c r="E559">
        <v>57</v>
      </c>
      <c r="F559" s="6">
        <v>1200</v>
      </c>
      <c r="G559" s="6">
        <v>800</v>
      </c>
      <c r="H559" s="6">
        <v>68400</v>
      </c>
      <c r="I559" s="5">
        <f t="shared" si="8"/>
        <v>22800</v>
      </c>
    </row>
    <row r="560" spans="1:9" x14ac:dyDescent="0.3">
      <c r="A560" t="s">
        <v>425</v>
      </c>
      <c r="B560" t="s">
        <v>36</v>
      </c>
      <c r="C560" t="s">
        <v>14</v>
      </c>
      <c r="D560" t="s">
        <v>24</v>
      </c>
      <c r="E560">
        <v>85</v>
      </c>
      <c r="F560" s="6">
        <v>1200</v>
      </c>
      <c r="G560" s="6">
        <v>800</v>
      </c>
      <c r="H560" s="6">
        <v>102000</v>
      </c>
      <c r="I560" s="5">
        <f t="shared" si="8"/>
        <v>34000</v>
      </c>
    </row>
    <row r="561" spans="1:9" x14ac:dyDescent="0.3">
      <c r="A561" t="s">
        <v>426</v>
      </c>
      <c r="B561" t="s">
        <v>58</v>
      </c>
      <c r="C561" t="s">
        <v>14</v>
      </c>
      <c r="D561" t="s">
        <v>24</v>
      </c>
      <c r="E561">
        <v>141</v>
      </c>
      <c r="F561" s="6">
        <v>1200</v>
      </c>
      <c r="G561" s="6">
        <v>800</v>
      </c>
      <c r="H561" s="6">
        <v>169200</v>
      </c>
      <c r="I561" s="5">
        <f t="shared" si="8"/>
        <v>56400</v>
      </c>
    </row>
    <row r="562" spans="1:9" x14ac:dyDescent="0.3">
      <c r="A562" t="s">
        <v>70</v>
      </c>
      <c r="B562" t="s">
        <v>30</v>
      </c>
      <c r="C562" t="s">
        <v>10</v>
      </c>
      <c r="D562" t="s">
        <v>34</v>
      </c>
      <c r="E562">
        <v>76</v>
      </c>
      <c r="F562" s="6">
        <v>10000</v>
      </c>
      <c r="G562" s="6">
        <v>7000</v>
      </c>
      <c r="H562" s="6">
        <v>760000</v>
      </c>
      <c r="I562" s="5">
        <f t="shared" si="8"/>
        <v>228000</v>
      </c>
    </row>
    <row r="563" spans="1:9" x14ac:dyDescent="0.3">
      <c r="A563" t="s">
        <v>93</v>
      </c>
      <c r="B563" t="s">
        <v>36</v>
      </c>
      <c r="C563" t="s">
        <v>14</v>
      </c>
      <c r="D563" t="s">
        <v>11</v>
      </c>
      <c r="E563">
        <v>90</v>
      </c>
      <c r="F563" s="6">
        <v>3500</v>
      </c>
      <c r="G563" s="6">
        <v>2500</v>
      </c>
      <c r="H563" s="6">
        <v>315000</v>
      </c>
      <c r="I563" s="5">
        <f t="shared" si="8"/>
        <v>90000</v>
      </c>
    </row>
    <row r="564" spans="1:9" x14ac:dyDescent="0.3">
      <c r="A564" t="s">
        <v>248</v>
      </c>
      <c r="B564" t="s">
        <v>58</v>
      </c>
      <c r="C564" t="s">
        <v>14</v>
      </c>
      <c r="D564" t="s">
        <v>31</v>
      </c>
      <c r="E564">
        <v>116</v>
      </c>
      <c r="F564" s="6">
        <v>1000</v>
      </c>
      <c r="G564" s="6">
        <v>700</v>
      </c>
      <c r="H564" s="6">
        <v>116000</v>
      </c>
      <c r="I564" s="5">
        <f t="shared" si="8"/>
        <v>34800</v>
      </c>
    </row>
    <row r="565" spans="1:9" x14ac:dyDescent="0.3">
      <c r="A565" t="s">
        <v>427</v>
      </c>
      <c r="B565" t="s">
        <v>40</v>
      </c>
      <c r="C565" t="s">
        <v>14</v>
      </c>
      <c r="D565" t="s">
        <v>31</v>
      </c>
      <c r="E565">
        <v>117</v>
      </c>
      <c r="F565" s="6">
        <v>1000</v>
      </c>
      <c r="G565" s="6">
        <v>700</v>
      </c>
      <c r="H565" s="6">
        <v>117000</v>
      </c>
      <c r="I565" s="5">
        <f t="shared" si="8"/>
        <v>35100</v>
      </c>
    </row>
    <row r="566" spans="1:9" x14ac:dyDescent="0.3">
      <c r="A566" t="s">
        <v>428</v>
      </c>
      <c r="B566" t="s">
        <v>28</v>
      </c>
      <c r="C566" t="s">
        <v>17</v>
      </c>
      <c r="D566" t="s">
        <v>15</v>
      </c>
      <c r="E566">
        <v>63</v>
      </c>
      <c r="F566" s="6">
        <v>4000</v>
      </c>
      <c r="G566" s="6">
        <v>3000</v>
      </c>
      <c r="H566" s="6">
        <v>252000</v>
      </c>
      <c r="I566" s="5">
        <f t="shared" si="8"/>
        <v>63000</v>
      </c>
    </row>
    <row r="567" spans="1:9" x14ac:dyDescent="0.3">
      <c r="A567" t="s">
        <v>274</v>
      </c>
      <c r="B567" t="s">
        <v>36</v>
      </c>
      <c r="C567" t="s">
        <v>26</v>
      </c>
      <c r="D567" t="s">
        <v>18</v>
      </c>
      <c r="E567">
        <v>140</v>
      </c>
      <c r="F567" s="6">
        <v>6000</v>
      </c>
      <c r="G567" s="6">
        <v>4000</v>
      </c>
      <c r="H567" s="6">
        <v>840000</v>
      </c>
      <c r="I567" s="5">
        <f t="shared" si="8"/>
        <v>280000</v>
      </c>
    </row>
    <row r="568" spans="1:9" x14ac:dyDescent="0.3">
      <c r="A568" t="s">
        <v>429</v>
      </c>
      <c r="B568" t="s">
        <v>43</v>
      </c>
      <c r="C568" t="s">
        <v>26</v>
      </c>
      <c r="D568" t="s">
        <v>21</v>
      </c>
      <c r="E568">
        <v>141</v>
      </c>
      <c r="F568" s="6">
        <v>600</v>
      </c>
      <c r="G568" s="6">
        <v>400</v>
      </c>
      <c r="H568" s="6">
        <v>84600</v>
      </c>
      <c r="I568" s="5">
        <f t="shared" si="8"/>
        <v>28200</v>
      </c>
    </row>
    <row r="569" spans="1:9" x14ac:dyDescent="0.3">
      <c r="A569" t="s">
        <v>268</v>
      </c>
      <c r="B569" t="s">
        <v>30</v>
      </c>
      <c r="C569" t="s">
        <v>14</v>
      </c>
      <c r="D569" t="s">
        <v>18</v>
      </c>
      <c r="E569">
        <v>84</v>
      </c>
      <c r="F569" s="6">
        <v>6000</v>
      </c>
      <c r="G569" s="6">
        <v>4000</v>
      </c>
      <c r="H569" s="6">
        <v>504000</v>
      </c>
      <c r="I569" s="5">
        <f t="shared" si="8"/>
        <v>168000</v>
      </c>
    </row>
    <row r="570" spans="1:9" x14ac:dyDescent="0.3">
      <c r="A570" t="s">
        <v>430</v>
      </c>
      <c r="B570" t="s">
        <v>13</v>
      </c>
      <c r="C570" t="s">
        <v>14</v>
      </c>
      <c r="D570" t="s">
        <v>18</v>
      </c>
      <c r="E570">
        <v>65</v>
      </c>
      <c r="F570" s="6">
        <v>6000</v>
      </c>
      <c r="G570" s="6">
        <v>4000</v>
      </c>
      <c r="H570" s="6">
        <v>390000</v>
      </c>
      <c r="I570" s="5">
        <f t="shared" si="8"/>
        <v>130000</v>
      </c>
    </row>
    <row r="571" spans="1:9" x14ac:dyDescent="0.3">
      <c r="A571" t="s">
        <v>315</v>
      </c>
      <c r="B571" t="s">
        <v>40</v>
      </c>
      <c r="C571" t="s">
        <v>26</v>
      </c>
      <c r="D571" t="s">
        <v>15</v>
      </c>
      <c r="E571">
        <v>133</v>
      </c>
      <c r="F571" s="6">
        <v>4000</v>
      </c>
      <c r="G571" s="6">
        <v>3000</v>
      </c>
      <c r="H571" s="6">
        <v>532000</v>
      </c>
      <c r="I571" s="5">
        <f t="shared" si="8"/>
        <v>133000</v>
      </c>
    </row>
    <row r="572" spans="1:9" x14ac:dyDescent="0.3">
      <c r="A572" t="s">
        <v>101</v>
      </c>
      <c r="B572" t="s">
        <v>40</v>
      </c>
      <c r="C572" t="s">
        <v>17</v>
      </c>
      <c r="D572" t="s">
        <v>18</v>
      </c>
      <c r="E572">
        <v>111</v>
      </c>
      <c r="F572" s="6">
        <v>6000</v>
      </c>
      <c r="G572" s="6">
        <v>4000</v>
      </c>
      <c r="H572" s="6">
        <v>666000</v>
      </c>
      <c r="I572" s="5">
        <f t="shared" si="8"/>
        <v>222000</v>
      </c>
    </row>
    <row r="573" spans="1:9" x14ac:dyDescent="0.3">
      <c r="A573" t="s">
        <v>216</v>
      </c>
      <c r="B573" t="s">
        <v>30</v>
      </c>
      <c r="C573" t="s">
        <v>14</v>
      </c>
      <c r="D573" t="s">
        <v>11</v>
      </c>
      <c r="E573">
        <v>88</v>
      </c>
      <c r="F573" s="6">
        <v>3500</v>
      </c>
      <c r="G573" s="6">
        <v>2500</v>
      </c>
      <c r="H573" s="6">
        <v>308000</v>
      </c>
      <c r="I573" s="5">
        <f t="shared" si="8"/>
        <v>88000</v>
      </c>
    </row>
    <row r="574" spans="1:9" x14ac:dyDescent="0.3">
      <c r="A574" t="s">
        <v>431</v>
      </c>
      <c r="B574" t="s">
        <v>30</v>
      </c>
      <c r="C574" t="s">
        <v>26</v>
      </c>
      <c r="D574" t="s">
        <v>31</v>
      </c>
      <c r="E574">
        <v>72</v>
      </c>
      <c r="F574" s="6">
        <v>1000</v>
      </c>
      <c r="G574" s="6">
        <v>700</v>
      </c>
      <c r="H574" s="6">
        <v>72000</v>
      </c>
      <c r="I574" s="5">
        <f t="shared" si="8"/>
        <v>21600</v>
      </c>
    </row>
    <row r="575" spans="1:9" x14ac:dyDescent="0.3">
      <c r="A575" t="s">
        <v>189</v>
      </c>
      <c r="B575" t="s">
        <v>58</v>
      </c>
      <c r="C575" t="s">
        <v>10</v>
      </c>
      <c r="D575" t="s">
        <v>31</v>
      </c>
      <c r="E575">
        <v>129</v>
      </c>
      <c r="F575" s="6">
        <v>1000</v>
      </c>
      <c r="G575" s="6">
        <v>700</v>
      </c>
      <c r="H575" s="6">
        <v>129000</v>
      </c>
      <c r="I575" s="5">
        <f t="shared" si="8"/>
        <v>38700</v>
      </c>
    </row>
    <row r="576" spans="1:9" x14ac:dyDescent="0.3">
      <c r="A576" t="s">
        <v>154</v>
      </c>
      <c r="B576" t="s">
        <v>30</v>
      </c>
      <c r="C576" t="s">
        <v>26</v>
      </c>
      <c r="D576" t="s">
        <v>34</v>
      </c>
      <c r="E576">
        <v>131</v>
      </c>
      <c r="F576" s="6">
        <v>10000</v>
      </c>
      <c r="G576" s="6">
        <v>7000</v>
      </c>
      <c r="H576" s="6">
        <v>1310000</v>
      </c>
      <c r="I576" s="5">
        <f t="shared" si="8"/>
        <v>393000</v>
      </c>
    </row>
    <row r="577" spans="1:9" x14ac:dyDescent="0.3">
      <c r="A577" t="s">
        <v>432</v>
      </c>
      <c r="B577" t="s">
        <v>40</v>
      </c>
      <c r="C577" t="s">
        <v>17</v>
      </c>
      <c r="D577" t="s">
        <v>21</v>
      </c>
      <c r="E577">
        <v>132</v>
      </c>
      <c r="F577" s="6">
        <v>600</v>
      </c>
      <c r="G577" s="6">
        <v>400</v>
      </c>
      <c r="H577" s="6">
        <v>79200</v>
      </c>
      <c r="I577" s="5">
        <f t="shared" si="8"/>
        <v>26400</v>
      </c>
    </row>
    <row r="578" spans="1:9" x14ac:dyDescent="0.3">
      <c r="A578" t="s">
        <v>433</v>
      </c>
      <c r="B578" t="s">
        <v>9</v>
      </c>
      <c r="C578" t="s">
        <v>17</v>
      </c>
      <c r="D578" t="s">
        <v>21</v>
      </c>
      <c r="E578">
        <v>137</v>
      </c>
      <c r="F578" s="6">
        <v>600</v>
      </c>
      <c r="G578" s="6">
        <v>400</v>
      </c>
      <c r="H578" s="6">
        <v>82200</v>
      </c>
      <c r="I578" s="5">
        <f t="shared" ref="I578:I641" si="9">H578-(G578*E578)</f>
        <v>27400</v>
      </c>
    </row>
    <row r="579" spans="1:9" x14ac:dyDescent="0.3">
      <c r="A579" t="s">
        <v>188</v>
      </c>
      <c r="B579" t="s">
        <v>20</v>
      </c>
      <c r="C579" t="s">
        <v>10</v>
      </c>
      <c r="D579" t="s">
        <v>11</v>
      </c>
      <c r="E579">
        <v>65</v>
      </c>
      <c r="F579" s="6">
        <v>3500</v>
      </c>
      <c r="G579" s="6">
        <v>2500</v>
      </c>
      <c r="H579" s="6">
        <v>227500</v>
      </c>
      <c r="I579" s="5">
        <f t="shared" si="9"/>
        <v>65000</v>
      </c>
    </row>
    <row r="580" spans="1:9" x14ac:dyDescent="0.3">
      <c r="A580" t="s">
        <v>52</v>
      </c>
      <c r="B580" t="s">
        <v>23</v>
      </c>
      <c r="C580" t="s">
        <v>26</v>
      </c>
      <c r="D580" t="s">
        <v>24</v>
      </c>
      <c r="E580">
        <v>141</v>
      </c>
      <c r="F580" s="6">
        <v>1200</v>
      </c>
      <c r="G580" s="6">
        <v>800</v>
      </c>
      <c r="H580" s="6">
        <v>169200</v>
      </c>
      <c r="I580" s="5">
        <f t="shared" si="9"/>
        <v>56400</v>
      </c>
    </row>
    <row r="581" spans="1:9" x14ac:dyDescent="0.3">
      <c r="A581" t="s">
        <v>434</v>
      </c>
      <c r="B581" t="s">
        <v>30</v>
      </c>
      <c r="C581" t="s">
        <v>17</v>
      </c>
      <c r="D581" t="s">
        <v>21</v>
      </c>
      <c r="E581">
        <v>134</v>
      </c>
      <c r="F581" s="6">
        <v>600</v>
      </c>
      <c r="G581" s="6">
        <v>400</v>
      </c>
      <c r="H581" s="6">
        <v>80400</v>
      </c>
      <c r="I581" s="5">
        <f t="shared" si="9"/>
        <v>26800</v>
      </c>
    </row>
    <row r="582" spans="1:9" x14ac:dyDescent="0.3">
      <c r="A582" t="s">
        <v>317</v>
      </c>
      <c r="B582" t="s">
        <v>36</v>
      </c>
      <c r="C582" t="s">
        <v>10</v>
      </c>
      <c r="D582" t="s">
        <v>21</v>
      </c>
      <c r="E582">
        <v>147</v>
      </c>
      <c r="F582" s="6">
        <v>600</v>
      </c>
      <c r="G582" s="6">
        <v>400</v>
      </c>
      <c r="H582" s="6">
        <v>88200</v>
      </c>
      <c r="I582" s="5">
        <f t="shared" si="9"/>
        <v>29400</v>
      </c>
    </row>
    <row r="583" spans="1:9" x14ac:dyDescent="0.3">
      <c r="A583" t="s">
        <v>354</v>
      </c>
      <c r="B583" t="s">
        <v>20</v>
      </c>
      <c r="C583" t="s">
        <v>26</v>
      </c>
      <c r="D583" t="s">
        <v>31</v>
      </c>
      <c r="E583">
        <v>76</v>
      </c>
      <c r="F583" s="6">
        <v>1000</v>
      </c>
      <c r="G583" s="6">
        <v>700</v>
      </c>
      <c r="H583" s="6">
        <v>76000</v>
      </c>
      <c r="I583" s="5">
        <f t="shared" si="9"/>
        <v>22800</v>
      </c>
    </row>
    <row r="584" spans="1:9" x14ac:dyDescent="0.3">
      <c r="A584" t="s">
        <v>188</v>
      </c>
      <c r="B584" t="s">
        <v>23</v>
      </c>
      <c r="C584" t="s">
        <v>26</v>
      </c>
      <c r="D584" t="s">
        <v>34</v>
      </c>
      <c r="E584">
        <v>93</v>
      </c>
      <c r="F584" s="6">
        <v>10000</v>
      </c>
      <c r="G584" s="6">
        <v>7000</v>
      </c>
      <c r="H584" s="6">
        <v>930000</v>
      </c>
      <c r="I584" s="5">
        <f t="shared" si="9"/>
        <v>279000</v>
      </c>
    </row>
    <row r="585" spans="1:9" x14ac:dyDescent="0.3">
      <c r="A585" t="s">
        <v>319</v>
      </c>
      <c r="B585" t="s">
        <v>9</v>
      </c>
      <c r="C585" t="s">
        <v>26</v>
      </c>
      <c r="D585" t="s">
        <v>15</v>
      </c>
      <c r="E585">
        <v>111</v>
      </c>
      <c r="F585" s="6">
        <v>4000</v>
      </c>
      <c r="G585" s="6">
        <v>3000</v>
      </c>
      <c r="H585" s="6">
        <v>444000</v>
      </c>
      <c r="I585" s="5">
        <f t="shared" si="9"/>
        <v>111000</v>
      </c>
    </row>
    <row r="586" spans="1:9" x14ac:dyDescent="0.3">
      <c r="A586" t="s">
        <v>333</v>
      </c>
      <c r="B586" t="s">
        <v>20</v>
      </c>
      <c r="C586" t="s">
        <v>26</v>
      </c>
      <c r="D586" t="s">
        <v>15</v>
      </c>
      <c r="E586">
        <v>82</v>
      </c>
      <c r="F586" s="6">
        <v>4000</v>
      </c>
      <c r="G586" s="6">
        <v>3000</v>
      </c>
      <c r="H586" s="6">
        <v>328000</v>
      </c>
      <c r="I586" s="5">
        <f t="shared" si="9"/>
        <v>82000</v>
      </c>
    </row>
    <row r="587" spans="1:9" x14ac:dyDescent="0.3">
      <c r="A587" t="s">
        <v>89</v>
      </c>
      <c r="B587" t="s">
        <v>23</v>
      </c>
      <c r="C587" t="s">
        <v>26</v>
      </c>
      <c r="D587" t="s">
        <v>11</v>
      </c>
      <c r="E587">
        <v>77</v>
      </c>
      <c r="F587" s="6">
        <v>3500</v>
      </c>
      <c r="G587" s="6">
        <v>2500</v>
      </c>
      <c r="H587" s="6">
        <v>269500</v>
      </c>
      <c r="I587" s="5">
        <f t="shared" si="9"/>
        <v>77000</v>
      </c>
    </row>
    <row r="588" spans="1:9" x14ac:dyDescent="0.3">
      <c r="A588" t="s">
        <v>278</v>
      </c>
      <c r="B588" t="s">
        <v>58</v>
      </c>
      <c r="C588" t="s">
        <v>26</v>
      </c>
      <c r="D588" t="s">
        <v>24</v>
      </c>
      <c r="E588">
        <v>140</v>
      </c>
      <c r="F588" s="6">
        <v>1200</v>
      </c>
      <c r="G588" s="6">
        <v>800</v>
      </c>
      <c r="H588" s="6">
        <v>168000</v>
      </c>
      <c r="I588" s="5">
        <f t="shared" si="9"/>
        <v>56000</v>
      </c>
    </row>
    <row r="589" spans="1:9" x14ac:dyDescent="0.3">
      <c r="A589" t="s">
        <v>435</v>
      </c>
      <c r="B589" t="s">
        <v>13</v>
      </c>
      <c r="C589" t="s">
        <v>10</v>
      </c>
      <c r="D589" t="s">
        <v>34</v>
      </c>
      <c r="E589">
        <v>147</v>
      </c>
      <c r="F589" s="6">
        <v>10000</v>
      </c>
      <c r="G589" s="6">
        <v>7000</v>
      </c>
      <c r="H589" s="6">
        <v>1470000</v>
      </c>
      <c r="I589" s="5">
        <f t="shared" si="9"/>
        <v>441000</v>
      </c>
    </row>
    <row r="590" spans="1:9" x14ac:dyDescent="0.3">
      <c r="A590" t="s">
        <v>436</v>
      </c>
      <c r="B590" t="s">
        <v>20</v>
      </c>
      <c r="C590" t="s">
        <v>17</v>
      </c>
      <c r="D590" t="s">
        <v>18</v>
      </c>
      <c r="E590">
        <v>91</v>
      </c>
      <c r="F590" s="6">
        <v>6000</v>
      </c>
      <c r="G590" s="6">
        <v>4000</v>
      </c>
      <c r="H590" s="6">
        <v>546000</v>
      </c>
      <c r="I590" s="5">
        <f t="shared" si="9"/>
        <v>182000</v>
      </c>
    </row>
    <row r="591" spans="1:9" x14ac:dyDescent="0.3">
      <c r="A591" t="s">
        <v>408</v>
      </c>
      <c r="B591" t="s">
        <v>58</v>
      </c>
      <c r="C591" t="s">
        <v>14</v>
      </c>
      <c r="D591" t="s">
        <v>11</v>
      </c>
      <c r="E591">
        <v>83</v>
      </c>
      <c r="F591" s="6">
        <v>3500</v>
      </c>
      <c r="G591" s="6">
        <v>2500</v>
      </c>
      <c r="H591" s="6">
        <v>290500</v>
      </c>
      <c r="I591" s="5">
        <f t="shared" si="9"/>
        <v>83000</v>
      </c>
    </row>
    <row r="592" spans="1:9" x14ac:dyDescent="0.3">
      <c r="A592" t="s">
        <v>437</v>
      </c>
      <c r="B592" t="s">
        <v>43</v>
      </c>
      <c r="C592" t="s">
        <v>14</v>
      </c>
      <c r="D592" t="s">
        <v>21</v>
      </c>
      <c r="E592">
        <v>96</v>
      </c>
      <c r="F592" s="6">
        <v>600</v>
      </c>
      <c r="G592" s="6">
        <v>400</v>
      </c>
      <c r="H592" s="6">
        <v>57600</v>
      </c>
      <c r="I592" s="5">
        <f t="shared" si="9"/>
        <v>19200</v>
      </c>
    </row>
    <row r="593" spans="1:9" x14ac:dyDescent="0.3">
      <c r="A593" t="s">
        <v>81</v>
      </c>
      <c r="B593" t="s">
        <v>36</v>
      </c>
      <c r="C593" t="s">
        <v>17</v>
      </c>
      <c r="D593" t="s">
        <v>15</v>
      </c>
      <c r="E593">
        <v>70</v>
      </c>
      <c r="F593" s="6">
        <v>4000</v>
      </c>
      <c r="G593" s="6">
        <v>3000</v>
      </c>
      <c r="H593" s="6">
        <v>280000</v>
      </c>
      <c r="I593" s="5">
        <f t="shared" si="9"/>
        <v>70000</v>
      </c>
    </row>
    <row r="594" spans="1:9" x14ac:dyDescent="0.3">
      <c r="A594" t="s">
        <v>429</v>
      </c>
      <c r="B594" t="s">
        <v>43</v>
      </c>
      <c r="C594" t="s">
        <v>10</v>
      </c>
      <c r="D594" t="s">
        <v>34</v>
      </c>
      <c r="E594">
        <v>56</v>
      </c>
      <c r="F594" s="6">
        <v>10000</v>
      </c>
      <c r="G594" s="6">
        <v>7000</v>
      </c>
      <c r="H594" s="6">
        <v>560000</v>
      </c>
      <c r="I594" s="5">
        <f t="shared" si="9"/>
        <v>168000</v>
      </c>
    </row>
    <row r="595" spans="1:9" x14ac:dyDescent="0.3">
      <c r="A595" t="s">
        <v>438</v>
      </c>
      <c r="B595" t="s">
        <v>30</v>
      </c>
      <c r="C595" t="s">
        <v>10</v>
      </c>
      <c r="D595" t="s">
        <v>34</v>
      </c>
      <c r="E595">
        <v>67</v>
      </c>
      <c r="F595" s="6">
        <v>10000</v>
      </c>
      <c r="G595" s="6">
        <v>7000</v>
      </c>
      <c r="H595" s="6">
        <v>670000</v>
      </c>
      <c r="I595" s="5">
        <f t="shared" si="9"/>
        <v>201000</v>
      </c>
    </row>
    <row r="596" spans="1:9" x14ac:dyDescent="0.3">
      <c r="A596" t="s">
        <v>439</v>
      </c>
      <c r="B596" t="s">
        <v>58</v>
      </c>
      <c r="C596" t="s">
        <v>14</v>
      </c>
      <c r="D596" t="s">
        <v>31</v>
      </c>
      <c r="E596">
        <v>80</v>
      </c>
      <c r="F596" s="6">
        <v>1000</v>
      </c>
      <c r="G596" s="6">
        <v>700</v>
      </c>
      <c r="H596" s="6">
        <v>80000</v>
      </c>
      <c r="I596" s="5">
        <f t="shared" si="9"/>
        <v>24000</v>
      </c>
    </row>
    <row r="597" spans="1:9" x14ac:dyDescent="0.3">
      <c r="A597" t="s">
        <v>402</v>
      </c>
      <c r="B597" t="s">
        <v>28</v>
      </c>
      <c r="C597" t="s">
        <v>14</v>
      </c>
      <c r="D597" t="s">
        <v>21</v>
      </c>
      <c r="E597">
        <v>136</v>
      </c>
      <c r="F597" s="6">
        <v>600</v>
      </c>
      <c r="G597" s="6">
        <v>400</v>
      </c>
      <c r="H597" s="6">
        <v>81600</v>
      </c>
      <c r="I597" s="5">
        <f t="shared" si="9"/>
        <v>27200</v>
      </c>
    </row>
    <row r="598" spans="1:9" x14ac:dyDescent="0.3">
      <c r="A598" t="s">
        <v>361</v>
      </c>
      <c r="B598" t="s">
        <v>13</v>
      </c>
      <c r="C598" t="s">
        <v>26</v>
      </c>
      <c r="D598" t="s">
        <v>31</v>
      </c>
      <c r="E598">
        <v>130</v>
      </c>
      <c r="F598" s="6">
        <v>1000</v>
      </c>
      <c r="G598" s="6">
        <v>700</v>
      </c>
      <c r="H598" s="6">
        <v>130000</v>
      </c>
      <c r="I598" s="5">
        <f t="shared" si="9"/>
        <v>39000</v>
      </c>
    </row>
    <row r="599" spans="1:9" x14ac:dyDescent="0.3">
      <c r="A599" t="s">
        <v>440</v>
      </c>
      <c r="B599" t="s">
        <v>58</v>
      </c>
      <c r="C599" t="s">
        <v>17</v>
      </c>
      <c r="D599" t="s">
        <v>21</v>
      </c>
      <c r="E599">
        <v>124</v>
      </c>
      <c r="F599" s="6">
        <v>600</v>
      </c>
      <c r="G599" s="6">
        <v>400</v>
      </c>
      <c r="H599" s="6">
        <v>74400</v>
      </c>
      <c r="I599" s="5">
        <f t="shared" si="9"/>
        <v>24800</v>
      </c>
    </row>
    <row r="600" spans="1:9" x14ac:dyDescent="0.3">
      <c r="A600" t="s">
        <v>81</v>
      </c>
      <c r="B600" t="s">
        <v>28</v>
      </c>
      <c r="C600" t="s">
        <v>10</v>
      </c>
      <c r="D600" t="s">
        <v>31</v>
      </c>
      <c r="E600">
        <v>97</v>
      </c>
      <c r="F600" s="6">
        <v>1000</v>
      </c>
      <c r="G600" s="6">
        <v>700</v>
      </c>
      <c r="H600" s="6">
        <v>97000</v>
      </c>
      <c r="I600" s="5">
        <f t="shared" si="9"/>
        <v>29100</v>
      </c>
    </row>
    <row r="601" spans="1:9" x14ac:dyDescent="0.3">
      <c r="A601" t="s">
        <v>302</v>
      </c>
      <c r="B601" t="s">
        <v>20</v>
      </c>
      <c r="C601" t="s">
        <v>26</v>
      </c>
      <c r="D601" t="s">
        <v>15</v>
      </c>
      <c r="E601">
        <v>144</v>
      </c>
      <c r="F601" s="6">
        <v>4000</v>
      </c>
      <c r="G601" s="6">
        <v>3000</v>
      </c>
      <c r="H601" s="6">
        <v>576000</v>
      </c>
      <c r="I601" s="5">
        <f t="shared" si="9"/>
        <v>144000</v>
      </c>
    </row>
    <row r="602" spans="1:9" x14ac:dyDescent="0.3">
      <c r="A602" t="s">
        <v>441</v>
      </c>
      <c r="B602" t="s">
        <v>28</v>
      </c>
      <c r="C602" t="s">
        <v>17</v>
      </c>
      <c r="D602" t="s">
        <v>34</v>
      </c>
      <c r="E602">
        <v>60</v>
      </c>
      <c r="F602" s="6">
        <v>10000</v>
      </c>
      <c r="G602" s="6">
        <v>7000</v>
      </c>
      <c r="H602" s="6">
        <v>600000</v>
      </c>
      <c r="I602" s="5">
        <f t="shared" si="9"/>
        <v>180000</v>
      </c>
    </row>
    <row r="603" spans="1:9" x14ac:dyDescent="0.3">
      <c r="A603" t="s">
        <v>442</v>
      </c>
      <c r="B603" t="s">
        <v>20</v>
      </c>
      <c r="C603" t="s">
        <v>26</v>
      </c>
      <c r="D603" t="s">
        <v>21</v>
      </c>
      <c r="E603">
        <v>86</v>
      </c>
      <c r="F603" s="6">
        <v>600</v>
      </c>
      <c r="G603" s="6">
        <v>400</v>
      </c>
      <c r="H603" s="6">
        <v>51600</v>
      </c>
      <c r="I603" s="5">
        <f t="shared" si="9"/>
        <v>17200</v>
      </c>
    </row>
    <row r="604" spans="1:9" x14ac:dyDescent="0.3">
      <c r="A604" t="s">
        <v>443</v>
      </c>
      <c r="B604" t="s">
        <v>40</v>
      </c>
      <c r="C604" t="s">
        <v>17</v>
      </c>
      <c r="D604" t="s">
        <v>21</v>
      </c>
      <c r="E604">
        <v>110</v>
      </c>
      <c r="F604" s="6">
        <v>600</v>
      </c>
      <c r="G604" s="6">
        <v>400</v>
      </c>
      <c r="H604" s="6">
        <v>66000</v>
      </c>
      <c r="I604" s="5">
        <f t="shared" si="9"/>
        <v>22000</v>
      </c>
    </row>
    <row r="605" spans="1:9" x14ac:dyDescent="0.3">
      <c r="A605" t="s">
        <v>120</v>
      </c>
      <c r="B605" t="s">
        <v>36</v>
      </c>
      <c r="C605" t="s">
        <v>14</v>
      </c>
      <c r="D605" t="s">
        <v>24</v>
      </c>
      <c r="E605">
        <v>103</v>
      </c>
      <c r="F605" s="6">
        <v>1200</v>
      </c>
      <c r="G605" s="6">
        <v>800</v>
      </c>
      <c r="H605" s="6">
        <v>123600</v>
      </c>
      <c r="I605" s="5">
        <f t="shared" si="9"/>
        <v>41200</v>
      </c>
    </row>
    <row r="606" spans="1:9" x14ac:dyDescent="0.3">
      <c r="A606" t="s">
        <v>258</v>
      </c>
      <c r="B606" t="s">
        <v>40</v>
      </c>
      <c r="C606" t="s">
        <v>17</v>
      </c>
      <c r="D606" t="s">
        <v>15</v>
      </c>
      <c r="E606">
        <v>79</v>
      </c>
      <c r="F606" s="6">
        <v>4000</v>
      </c>
      <c r="G606" s="6">
        <v>3000</v>
      </c>
      <c r="H606" s="6">
        <v>316000</v>
      </c>
      <c r="I606" s="5">
        <f t="shared" si="9"/>
        <v>79000</v>
      </c>
    </row>
    <row r="607" spans="1:9" x14ac:dyDescent="0.3">
      <c r="A607" t="s">
        <v>88</v>
      </c>
      <c r="B607" t="s">
        <v>13</v>
      </c>
      <c r="C607" t="s">
        <v>17</v>
      </c>
      <c r="D607" t="s">
        <v>31</v>
      </c>
      <c r="E607">
        <v>136</v>
      </c>
      <c r="F607" s="6">
        <v>1000</v>
      </c>
      <c r="G607" s="6">
        <v>700</v>
      </c>
      <c r="H607" s="6">
        <v>136000</v>
      </c>
      <c r="I607" s="5">
        <f t="shared" si="9"/>
        <v>40800</v>
      </c>
    </row>
    <row r="608" spans="1:9" x14ac:dyDescent="0.3">
      <c r="A608" t="s">
        <v>444</v>
      </c>
      <c r="B608" t="s">
        <v>30</v>
      </c>
      <c r="C608" t="s">
        <v>26</v>
      </c>
      <c r="D608" t="s">
        <v>18</v>
      </c>
      <c r="E608">
        <v>141</v>
      </c>
      <c r="F608" s="6">
        <v>6000</v>
      </c>
      <c r="G608" s="6">
        <v>4000</v>
      </c>
      <c r="H608" s="6">
        <v>846000</v>
      </c>
      <c r="I608" s="5">
        <f t="shared" si="9"/>
        <v>282000</v>
      </c>
    </row>
    <row r="609" spans="1:9" x14ac:dyDescent="0.3">
      <c r="A609" t="s">
        <v>445</v>
      </c>
      <c r="B609" t="s">
        <v>28</v>
      </c>
      <c r="C609" t="s">
        <v>17</v>
      </c>
      <c r="D609" t="s">
        <v>18</v>
      </c>
      <c r="E609">
        <v>123</v>
      </c>
      <c r="F609" s="6">
        <v>6000</v>
      </c>
      <c r="G609" s="6">
        <v>4000</v>
      </c>
      <c r="H609" s="6">
        <v>738000</v>
      </c>
      <c r="I609" s="5">
        <f t="shared" si="9"/>
        <v>246000</v>
      </c>
    </row>
    <row r="610" spans="1:9" x14ac:dyDescent="0.3">
      <c r="A610" t="s">
        <v>287</v>
      </c>
      <c r="B610" t="s">
        <v>23</v>
      </c>
      <c r="C610" t="s">
        <v>26</v>
      </c>
      <c r="D610" t="s">
        <v>15</v>
      </c>
      <c r="E610">
        <v>114</v>
      </c>
      <c r="F610" s="6">
        <v>4000</v>
      </c>
      <c r="G610" s="6">
        <v>3000</v>
      </c>
      <c r="H610" s="6">
        <v>456000</v>
      </c>
      <c r="I610" s="5">
        <f t="shared" si="9"/>
        <v>114000</v>
      </c>
    </row>
    <row r="611" spans="1:9" x14ac:dyDescent="0.3">
      <c r="A611" t="s">
        <v>315</v>
      </c>
      <c r="B611" t="s">
        <v>30</v>
      </c>
      <c r="C611" t="s">
        <v>10</v>
      </c>
      <c r="D611" t="s">
        <v>15</v>
      </c>
      <c r="E611">
        <v>62</v>
      </c>
      <c r="F611" s="6">
        <v>4000</v>
      </c>
      <c r="G611" s="6">
        <v>3000</v>
      </c>
      <c r="H611" s="6">
        <v>248000</v>
      </c>
      <c r="I611" s="5">
        <f t="shared" si="9"/>
        <v>62000</v>
      </c>
    </row>
    <row r="612" spans="1:9" x14ac:dyDescent="0.3">
      <c r="A612" t="s">
        <v>78</v>
      </c>
      <c r="B612" t="s">
        <v>28</v>
      </c>
      <c r="C612" t="s">
        <v>14</v>
      </c>
      <c r="D612" t="s">
        <v>24</v>
      </c>
      <c r="E612">
        <v>112</v>
      </c>
      <c r="F612" s="6">
        <v>1200</v>
      </c>
      <c r="G612" s="6">
        <v>800</v>
      </c>
      <c r="H612" s="6">
        <v>134400</v>
      </c>
      <c r="I612" s="5">
        <f t="shared" si="9"/>
        <v>44800</v>
      </c>
    </row>
    <row r="613" spans="1:9" x14ac:dyDescent="0.3">
      <c r="A613" t="s">
        <v>262</v>
      </c>
      <c r="B613" t="s">
        <v>28</v>
      </c>
      <c r="C613" t="s">
        <v>17</v>
      </c>
      <c r="D613" t="s">
        <v>21</v>
      </c>
      <c r="E613">
        <v>104</v>
      </c>
      <c r="F613" s="6">
        <v>600</v>
      </c>
      <c r="G613" s="6">
        <v>400</v>
      </c>
      <c r="H613" s="6">
        <v>62400</v>
      </c>
      <c r="I613" s="5">
        <f t="shared" si="9"/>
        <v>20800</v>
      </c>
    </row>
    <row r="614" spans="1:9" x14ac:dyDescent="0.3">
      <c r="A614" t="s">
        <v>106</v>
      </c>
      <c r="B614" t="s">
        <v>36</v>
      </c>
      <c r="C614" t="s">
        <v>17</v>
      </c>
      <c r="D614" t="s">
        <v>11</v>
      </c>
      <c r="E614">
        <v>52</v>
      </c>
      <c r="F614" s="6">
        <v>3500</v>
      </c>
      <c r="G614" s="6">
        <v>2500</v>
      </c>
      <c r="H614" s="6">
        <v>182000</v>
      </c>
      <c r="I614" s="5">
        <f t="shared" si="9"/>
        <v>52000</v>
      </c>
    </row>
    <row r="615" spans="1:9" x14ac:dyDescent="0.3">
      <c r="A615" t="s">
        <v>446</v>
      </c>
      <c r="B615" t="s">
        <v>28</v>
      </c>
      <c r="C615" t="s">
        <v>17</v>
      </c>
      <c r="D615" t="s">
        <v>34</v>
      </c>
      <c r="E615">
        <v>144</v>
      </c>
      <c r="F615" s="6">
        <v>10000</v>
      </c>
      <c r="G615" s="6">
        <v>7000</v>
      </c>
      <c r="H615" s="6">
        <v>1440000</v>
      </c>
      <c r="I615" s="5">
        <f t="shared" si="9"/>
        <v>432000</v>
      </c>
    </row>
    <row r="616" spans="1:9" x14ac:dyDescent="0.3">
      <c r="A616" t="s">
        <v>135</v>
      </c>
      <c r="B616" t="s">
        <v>30</v>
      </c>
      <c r="C616" t="s">
        <v>10</v>
      </c>
      <c r="D616" t="s">
        <v>34</v>
      </c>
      <c r="E616">
        <v>109</v>
      </c>
      <c r="F616" s="6">
        <v>10000</v>
      </c>
      <c r="G616" s="6">
        <v>7000</v>
      </c>
      <c r="H616" s="6">
        <v>1090000</v>
      </c>
      <c r="I616" s="5">
        <f t="shared" si="9"/>
        <v>327000</v>
      </c>
    </row>
    <row r="617" spans="1:9" x14ac:dyDescent="0.3">
      <c r="A617" t="s">
        <v>331</v>
      </c>
      <c r="B617" t="s">
        <v>20</v>
      </c>
      <c r="C617" t="s">
        <v>10</v>
      </c>
      <c r="D617" t="s">
        <v>24</v>
      </c>
      <c r="E617">
        <v>118</v>
      </c>
      <c r="F617" s="6">
        <v>1200</v>
      </c>
      <c r="G617" s="6">
        <v>800</v>
      </c>
      <c r="H617" s="6">
        <v>141600</v>
      </c>
      <c r="I617" s="5">
        <f t="shared" si="9"/>
        <v>47200</v>
      </c>
    </row>
    <row r="618" spans="1:9" x14ac:dyDescent="0.3">
      <c r="A618" t="s">
        <v>447</v>
      </c>
      <c r="B618" t="s">
        <v>13</v>
      </c>
      <c r="C618" t="s">
        <v>26</v>
      </c>
      <c r="D618" t="s">
        <v>24</v>
      </c>
      <c r="E618">
        <v>102</v>
      </c>
      <c r="F618" s="6">
        <v>1200</v>
      </c>
      <c r="G618" s="6">
        <v>800</v>
      </c>
      <c r="H618" s="6">
        <v>122400</v>
      </c>
      <c r="I618" s="5">
        <f t="shared" si="9"/>
        <v>40800</v>
      </c>
    </row>
    <row r="619" spans="1:9" x14ac:dyDescent="0.3">
      <c r="A619" t="s">
        <v>252</v>
      </c>
      <c r="B619" t="s">
        <v>36</v>
      </c>
      <c r="C619" t="s">
        <v>10</v>
      </c>
      <c r="D619" t="s">
        <v>34</v>
      </c>
      <c r="E619">
        <v>86</v>
      </c>
      <c r="F619" s="6">
        <v>10000</v>
      </c>
      <c r="G619" s="6">
        <v>7000</v>
      </c>
      <c r="H619" s="6">
        <v>860000</v>
      </c>
      <c r="I619" s="5">
        <f t="shared" si="9"/>
        <v>258000</v>
      </c>
    </row>
    <row r="620" spans="1:9" x14ac:dyDescent="0.3">
      <c r="A620" t="s">
        <v>317</v>
      </c>
      <c r="B620" t="s">
        <v>23</v>
      </c>
      <c r="C620" t="s">
        <v>17</v>
      </c>
      <c r="D620" t="s">
        <v>24</v>
      </c>
      <c r="E620">
        <v>118</v>
      </c>
      <c r="F620" s="6">
        <v>1200</v>
      </c>
      <c r="G620" s="6">
        <v>800</v>
      </c>
      <c r="H620" s="6">
        <v>141600</v>
      </c>
      <c r="I620" s="5">
        <f t="shared" si="9"/>
        <v>47200</v>
      </c>
    </row>
    <row r="621" spans="1:9" x14ac:dyDescent="0.3">
      <c r="A621" t="s">
        <v>448</v>
      </c>
      <c r="B621" t="s">
        <v>58</v>
      </c>
      <c r="C621" t="s">
        <v>17</v>
      </c>
      <c r="D621" t="s">
        <v>18</v>
      </c>
      <c r="E621">
        <v>145</v>
      </c>
      <c r="F621" s="6">
        <v>6000</v>
      </c>
      <c r="G621" s="6">
        <v>4000</v>
      </c>
      <c r="H621" s="6">
        <v>870000</v>
      </c>
      <c r="I621" s="5">
        <f t="shared" si="9"/>
        <v>290000</v>
      </c>
    </row>
    <row r="622" spans="1:9" x14ac:dyDescent="0.3">
      <c r="A622" t="s">
        <v>449</v>
      </c>
      <c r="B622" t="s">
        <v>36</v>
      </c>
      <c r="C622" t="s">
        <v>17</v>
      </c>
      <c r="D622" t="s">
        <v>31</v>
      </c>
      <c r="E622">
        <v>80</v>
      </c>
      <c r="F622" s="6">
        <v>1000</v>
      </c>
      <c r="G622" s="6">
        <v>700</v>
      </c>
      <c r="H622" s="6">
        <v>80000</v>
      </c>
      <c r="I622" s="5">
        <f t="shared" si="9"/>
        <v>24000</v>
      </c>
    </row>
    <row r="623" spans="1:9" x14ac:dyDescent="0.3">
      <c r="A623" t="s">
        <v>44</v>
      </c>
      <c r="B623" t="s">
        <v>43</v>
      </c>
      <c r="C623" t="s">
        <v>10</v>
      </c>
      <c r="D623" t="s">
        <v>11</v>
      </c>
      <c r="E623">
        <v>65</v>
      </c>
      <c r="F623" s="6">
        <v>3500</v>
      </c>
      <c r="G623" s="6">
        <v>2500</v>
      </c>
      <c r="H623" s="6">
        <v>227500</v>
      </c>
      <c r="I623" s="5">
        <f t="shared" si="9"/>
        <v>65000</v>
      </c>
    </row>
    <row r="624" spans="1:9" x14ac:dyDescent="0.3">
      <c r="A624" t="s">
        <v>354</v>
      </c>
      <c r="B624" t="s">
        <v>23</v>
      </c>
      <c r="C624" t="s">
        <v>14</v>
      </c>
      <c r="D624" t="s">
        <v>18</v>
      </c>
      <c r="E624">
        <v>94</v>
      </c>
      <c r="F624" s="6">
        <v>6000</v>
      </c>
      <c r="G624" s="6">
        <v>4000</v>
      </c>
      <c r="H624" s="6">
        <v>564000</v>
      </c>
      <c r="I624" s="5">
        <f t="shared" si="9"/>
        <v>188000</v>
      </c>
    </row>
    <row r="625" spans="1:9" x14ac:dyDescent="0.3">
      <c r="A625" t="s">
        <v>64</v>
      </c>
      <c r="B625" t="s">
        <v>20</v>
      </c>
      <c r="C625" t="s">
        <v>14</v>
      </c>
      <c r="D625" t="s">
        <v>31</v>
      </c>
      <c r="E625">
        <v>89</v>
      </c>
      <c r="F625" s="6">
        <v>1000</v>
      </c>
      <c r="G625" s="6">
        <v>700</v>
      </c>
      <c r="H625" s="6">
        <v>89000</v>
      </c>
      <c r="I625" s="5">
        <f t="shared" si="9"/>
        <v>26700</v>
      </c>
    </row>
    <row r="626" spans="1:9" x14ac:dyDescent="0.3">
      <c r="A626" t="s">
        <v>248</v>
      </c>
      <c r="B626" t="s">
        <v>20</v>
      </c>
      <c r="C626" t="s">
        <v>17</v>
      </c>
      <c r="D626" t="s">
        <v>11</v>
      </c>
      <c r="E626">
        <v>122</v>
      </c>
      <c r="F626" s="6">
        <v>3500</v>
      </c>
      <c r="G626" s="6">
        <v>2500</v>
      </c>
      <c r="H626" s="6">
        <v>427000</v>
      </c>
      <c r="I626" s="5">
        <f t="shared" si="9"/>
        <v>122000</v>
      </c>
    </row>
    <row r="627" spans="1:9" x14ac:dyDescent="0.3">
      <c r="A627" t="s">
        <v>192</v>
      </c>
      <c r="B627" t="s">
        <v>30</v>
      </c>
      <c r="C627" t="s">
        <v>17</v>
      </c>
      <c r="D627" t="s">
        <v>11</v>
      </c>
      <c r="E627">
        <v>73</v>
      </c>
      <c r="F627" s="6">
        <v>3500</v>
      </c>
      <c r="G627" s="6">
        <v>2500</v>
      </c>
      <c r="H627" s="6">
        <v>255500</v>
      </c>
      <c r="I627" s="5">
        <f t="shared" si="9"/>
        <v>73000</v>
      </c>
    </row>
    <row r="628" spans="1:9" x14ac:dyDescent="0.3">
      <c r="A628" t="s">
        <v>321</v>
      </c>
      <c r="B628" t="s">
        <v>36</v>
      </c>
      <c r="C628" t="s">
        <v>14</v>
      </c>
      <c r="D628" t="s">
        <v>31</v>
      </c>
      <c r="E628">
        <v>54</v>
      </c>
      <c r="F628" s="6">
        <v>1000</v>
      </c>
      <c r="G628" s="6">
        <v>700</v>
      </c>
      <c r="H628" s="6">
        <v>54000</v>
      </c>
      <c r="I628" s="5">
        <f t="shared" si="9"/>
        <v>16200</v>
      </c>
    </row>
    <row r="629" spans="1:9" x14ac:dyDescent="0.3">
      <c r="A629" t="s">
        <v>450</v>
      </c>
      <c r="B629" t="s">
        <v>43</v>
      </c>
      <c r="C629" t="s">
        <v>26</v>
      </c>
      <c r="D629" t="s">
        <v>11</v>
      </c>
      <c r="E629">
        <v>150</v>
      </c>
      <c r="F629" s="6">
        <v>3500</v>
      </c>
      <c r="G629" s="6">
        <v>2500</v>
      </c>
      <c r="H629" s="6">
        <v>525000</v>
      </c>
      <c r="I629" s="5">
        <f t="shared" si="9"/>
        <v>150000</v>
      </c>
    </row>
    <row r="630" spans="1:9" x14ac:dyDescent="0.3">
      <c r="A630" t="s">
        <v>402</v>
      </c>
      <c r="B630" t="s">
        <v>23</v>
      </c>
      <c r="C630" t="s">
        <v>26</v>
      </c>
      <c r="D630" t="s">
        <v>31</v>
      </c>
      <c r="E630">
        <v>90</v>
      </c>
      <c r="F630" s="6">
        <v>1000</v>
      </c>
      <c r="G630" s="6">
        <v>700</v>
      </c>
      <c r="H630" s="6">
        <v>90000</v>
      </c>
      <c r="I630" s="5">
        <f t="shared" si="9"/>
        <v>27000</v>
      </c>
    </row>
    <row r="631" spans="1:9" x14ac:dyDescent="0.3">
      <c r="A631" t="s">
        <v>451</v>
      </c>
      <c r="B631" t="s">
        <v>28</v>
      </c>
      <c r="C631" t="s">
        <v>14</v>
      </c>
      <c r="D631" t="s">
        <v>21</v>
      </c>
      <c r="E631">
        <v>141</v>
      </c>
      <c r="F631" s="6">
        <v>600</v>
      </c>
      <c r="G631" s="6">
        <v>400</v>
      </c>
      <c r="H631" s="6">
        <v>84600</v>
      </c>
      <c r="I631" s="5">
        <f t="shared" si="9"/>
        <v>28200</v>
      </c>
    </row>
    <row r="632" spans="1:9" x14ac:dyDescent="0.3">
      <c r="A632" t="s">
        <v>258</v>
      </c>
      <c r="B632" t="s">
        <v>58</v>
      </c>
      <c r="C632" t="s">
        <v>26</v>
      </c>
      <c r="D632" t="s">
        <v>18</v>
      </c>
      <c r="E632">
        <v>80</v>
      </c>
      <c r="F632" s="6">
        <v>6000</v>
      </c>
      <c r="G632" s="6">
        <v>4000</v>
      </c>
      <c r="H632" s="6">
        <v>480000</v>
      </c>
      <c r="I632" s="5">
        <f t="shared" si="9"/>
        <v>160000</v>
      </c>
    </row>
    <row r="633" spans="1:9" x14ac:dyDescent="0.3">
      <c r="A633" t="s">
        <v>452</v>
      </c>
      <c r="B633" t="s">
        <v>40</v>
      </c>
      <c r="C633" t="s">
        <v>26</v>
      </c>
      <c r="D633" t="s">
        <v>24</v>
      </c>
      <c r="E633">
        <v>105</v>
      </c>
      <c r="F633" s="6">
        <v>1200</v>
      </c>
      <c r="G633" s="6">
        <v>800</v>
      </c>
      <c r="H633" s="6">
        <v>126000</v>
      </c>
      <c r="I633" s="5">
        <f t="shared" si="9"/>
        <v>42000</v>
      </c>
    </row>
    <row r="634" spans="1:9" x14ac:dyDescent="0.3">
      <c r="A634" t="s">
        <v>137</v>
      </c>
      <c r="B634" t="s">
        <v>20</v>
      </c>
      <c r="C634" t="s">
        <v>10</v>
      </c>
      <c r="D634" t="s">
        <v>34</v>
      </c>
      <c r="E634">
        <v>53</v>
      </c>
      <c r="F634" s="6">
        <v>10000</v>
      </c>
      <c r="G634" s="6">
        <v>7000</v>
      </c>
      <c r="H634" s="6">
        <v>530000</v>
      </c>
      <c r="I634" s="5">
        <f t="shared" si="9"/>
        <v>159000</v>
      </c>
    </row>
    <row r="635" spans="1:9" x14ac:dyDescent="0.3">
      <c r="A635" t="s">
        <v>453</v>
      </c>
      <c r="B635" t="s">
        <v>23</v>
      </c>
      <c r="C635" t="s">
        <v>17</v>
      </c>
      <c r="D635" t="s">
        <v>21</v>
      </c>
      <c r="E635">
        <v>114</v>
      </c>
      <c r="F635" s="6">
        <v>600</v>
      </c>
      <c r="G635" s="6">
        <v>400</v>
      </c>
      <c r="H635" s="6">
        <v>68400</v>
      </c>
      <c r="I635" s="5">
        <f t="shared" si="9"/>
        <v>22800</v>
      </c>
    </row>
    <row r="636" spans="1:9" x14ac:dyDescent="0.3">
      <c r="A636" t="s">
        <v>418</v>
      </c>
      <c r="B636" t="s">
        <v>43</v>
      </c>
      <c r="C636" t="s">
        <v>14</v>
      </c>
      <c r="D636" t="s">
        <v>15</v>
      </c>
      <c r="E636">
        <v>138</v>
      </c>
      <c r="F636" s="6">
        <v>4000</v>
      </c>
      <c r="G636" s="6">
        <v>3000</v>
      </c>
      <c r="H636" s="6">
        <v>552000</v>
      </c>
      <c r="I636" s="5">
        <f t="shared" si="9"/>
        <v>138000</v>
      </c>
    </row>
    <row r="637" spans="1:9" x14ac:dyDescent="0.3">
      <c r="A637" t="s">
        <v>124</v>
      </c>
      <c r="B637" t="s">
        <v>36</v>
      </c>
      <c r="C637" t="s">
        <v>10</v>
      </c>
      <c r="D637" t="s">
        <v>34</v>
      </c>
      <c r="E637">
        <v>52</v>
      </c>
      <c r="F637" s="6">
        <v>10000</v>
      </c>
      <c r="G637" s="6">
        <v>7000</v>
      </c>
      <c r="H637" s="6">
        <v>520000</v>
      </c>
      <c r="I637" s="5">
        <f t="shared" si="9"/>
        <v>156000</v>
      </c>
    </row>
    <row r="638" spans="1:9" x14ac:dyDescent="0.3">
      <c r="A638" t="s">
        <v>454</v>
      </c>
      <c r="B638" t="s">
        <v>40</v>
      </c>
      <c r="C638" t="s">
        <v>14</v>
      </c>
      <c r="D638" t="s">
        <v>15</v>
      </c>
      <c r="E638">
        <v>80</v>
      </c>
      <c r="F638" s="6">
        <v>4000</v>
      </c>
      <c r="G638" s="6">
        <v>3000</v>
      </c>
      <c r="H638" s="6">
        <v>320000</v>
      </c>
      <c r="I638" s="5">
        <f t="shared" si="9"/>
        <v>80000</v>
      </c>
    </row>
    <row r="639" spans="1:9" x14ac:dyDescent="0.3">
      <c r="A639" t="s">
        <v>404</v>
      </c>
      <c r="B639" t="s">
        <v>13</v>
      </c>
      <c r="C639" t="s">
        <v>10</v>
      </c>
      <c r="D639" t="s">
        <v>34</v>
      </c>
      <c r="E639">
        <v>64</v>
      </c>
      <c r="F639" s="6">
        <v>10000</v>
      </c>
      <c r="G639" s="6">
        <v>7000</v>
      </c>
      <c r="H639" s="6">
        <v>640000</v>
      </c>
      <c r="I639" s="5">
        <f t="shared" si="9"/>
        <v>192000</v>
      </c>
    </row>
    <row r="640" spans="1:9" x14ac:dyDescent="0.3">
      <c r="A640" t="s">
        <v>455</v>
      </c>
      <c r="B640" t="s">
        <v>13</v>
      </c>
      <c r="C640" t="s">
        <v>26</v>
      </c>
      <c r="D640" t="s">
        <v>24</v>
      </c>
      <c r="E640">
        <v>96</v>
      </c>
      <c r="F640" s="6">
        <v>1200</v>
      </c>
      <c r="G640" s="6">
        <v>800</v>
      </c>
      <c r="H640" s="6">
        <v>115200</v>
      </c>
      <c r="I640" s="5">
        <f t="shared" si="9"/>
        <v>38400</v>
      </c>
    </row>
    <row r="641" spans="1:9" x14ac:dyDescent="0.3">
      <c r="A641" t="s">
        <v>456</v>
      </c>
      <c r="B641" t="s">
        <v>23</v>
      </c>
      <c r="C641" t="s">
        <v>10</v>
      </c>
      <c r="D641" t="s">
        <v>24</v>
      </c>
      <c r="E641">
        <v>142</v>
      </c>
      <c r="F641" s="6">
        <v>1200</v>
      </c>
      <c r="G641" s="6">
        <v>800</v>
      </c>
      <c r="H641" s="6">
        <v>170400</v>
      </c>
      <c r="I641" s="5">
        <f t="shared" si="9"/>
        <v>56800</v>
      </c>
    </row>
    <row r="642" spans="1:9" x14ac:dyDescent="0.3">
      <c r="A642" t="s">
        <v>132</v>
      </c>
      <c r="B642" t="s">
        <v>20</v>
      </c>
      <c r="C642" t="s">
        <v>26</v>
      </c>
      <c r="D642" t="s">
        <v>24</v>
      </c>
      <c r="E642">
        <v>75</v>
      </c>
      <c r="F642" s="6">
        <v>1200</v>
      </c>
      <c r="G642" s="6">
        <v>800</v>
      </c>
      <c r="H642" s="6">
        <v>90000</v>
      </c>
      <c r="I642" s="5">
        <f t="shared" ref="I642:I705" si="10">H642-(G642*E642)</f>
        <v>30000</v>
      </c>
    </row>
    <row r="643" spans="1:9" x14ac:dyDescent="0.3">
      <c r="A643" t="s">
        <v>457</v>
      </c>
      <c r="B643" t="s">
        <v>36</v>
      </c>
      <c r="C643" t="s">
        <v>14</v>
      </c>
      <c r="D643" t="s">
        <v>24</v>
      </c>
      <c r="E643">
        <v>82</v>
      </c>
      <c r="F643" s="6">
        <v>1200</v>
      </c>
      <c r="G643" s="6">
        <v>800</v>
      </c>
      <c r="H643" s="6">
        <v>98400</v>
      </c>
      <c r="I643" s="5">
        <f t="shared" si="10"/>
        <v>32800</v>
      </c>
    </row>
    <row r="644" spans="1:9" x14ac:dyDescent="0.3">
      <c r="A644" t="s">
        <v>458</v>
      </c>
      <c r="B644" t="s">
        <v>20</v>
      </c>
      <c r="C644" t="s">
        <v>17</v>
      </c>
      <c r="D644" t="s">
        <v>21</v>
      </c>
      <c r="E644">
        <v>86</v>
      </c>
      <c r="F644" s="6">
        <v>600</v>
      </c>
      <c r="G644" s="6">
        <v>400</v>
      </c>
      <c r="H644" s="6">
        <v>51600</v>
      </c>
      <c r="I644" s="5">
        <f t="shared" si="10"/>
        <v>17200</v>
      </c>
    </row>
    <row r="645" spans="1:9" x14ac:dyDescent="0.3">
      <c r="A645" t="s">
        <v>459</v>
      </c>
      <c r="B645" t="s">
        <v>9</v>
      </c>
      <c r="C645" t="s">
        <v>10</v>
      </c>
      <c r="D645" t="s">
        <v>21</v>
      </c>
      <c r="E645">
        <v>51</v>
      </c>
      <c r="F645" s="6">
        <v>600</v>
      </c>
      <c r="G645" s="6">
        <v>400</v>
      </c>
      <c r="H645" s="6">
        <v>30600</v>
      </c>
      <c r="I645" s="5">
        <f t="shared" si="10"/>
        <v>10200</v>
      </c>
    </row>
    <row r="646" spans="1:9" x14ac:dyDescent="0.3">
      <c r="A646" t="s">
        <v>289</v>
      </c>
      <c r="B646" t="s">
        <v>36</v>
      </c>
      <c r="C646" t="s">
        <v>17</v>
      </c>
      <c r="D646" t="s">
        <v>24</v>
      </c>
      <c r="E646">
        <v>124</v>
      </c>
      <c r="F646" s="6">
        <v>1200</v>
      </c>
      <c r="G646" s="6">
        <v>800</v>
      </c>
      <c r="H646" s="6">
        <v>148800</v>
      </c>
      <c r="I646" s="5">
        <f t="shared" si="10"/>
        <v>49600</v>
      </c>
    </row>
    <row r="647" spans="1:9" x14ac:dyDescent="0.3">
      <c r="A647" t="s">
        <v>460</v>
      </c>
      <c r="B647" t="s">
        <v>28</v>
      </c>
      <c r="C647" t="s">
        <v>17</v>
      </c>
      <c r="D647" t="s">
        <v>24</v>
      </c>
      <c r="E647">
        <v>133</v>
      </c>
      <c r="F647" s="6">
        <v>1200</v>
      </c>
      <c r="G647" s="6">
        <v>800</v>
      </c>
      <c r="H647" s="6">
        <v>159600</v>
      </c>
      <c r="I647" s="5">
        <f t="shared" si="10"/>
        <v>53200</v>
      </c>
    </row>
    <row r="648" spans="1:9" x14ac:dyDescent="0.3">
      <c r="A648" t="s">
        <v>186</v>
      </c>
      <c r="B648" t="s">
        <v>30</v>
      </c>
      <c r="C648" t="s">
        <v>10</v>
      </c>
      <c r="D648" t="s">
        <v>15</v>
      </c>
      <c r="E648">
        <v>52</v>
      </c>
      <c r="F648" s="6">
        <v>4000</v>
      </c>
      <c r="G648" s="6">
        <v>3000</v>
      </c>
      <c r="H648" s="6">
        <v>208000</v>
      </c>
      <c r="I648" s="5">
        <f t="shared" si="10"/>
        <v>52000</v>
      </c>
    </row>
    <row r="649" spans="1:9" x14ac:dyDescent="0.3">
      <c r="A649" t="s">
        <v>461</v>
      </c>
      <c r="B649" t="s">
        <v>58</v>
      </c>
      <c r="C649" t="s">
        <v>26</v>
      </c>
      <c r="D649" t="s">
        <v>15</v>
      </c>
      <c r="E649">
        <v>103</v>
      </c>
      <c r="F649" s="6">
        <v>4000</v>
      </c>
      <c r="G649" s="6">
        <v>3000</v>
      </c>
      <c r="H649" s="6">
        <v>412000</v>
      </c>
      <c r="I649" s="5">
        <f t="shared" si="10"/>
        <v>103000</v>
      </c>
    </row>
    <row r="650" spans="1:9" x14ac:dyDescent="0.3">
      <c r="A650" t="s">
        <v>462</v>
      </c>
      <c r="B650" t="s">
        <v>36</v>
      </c>
      <c r="C650" t="s">
        <v>10</v>
      </c>
      <c r="D650" t="s">
        <v>34</v>
      </c>
      <c r="E650">
        <v>129</v>
      </c>
      <c r="F650" s="6">
        <v>10000</v>
      </c>
      <c r="G650" s="6">
        <v>7000</v>
      </c>
      <c r="H650" s="6">
        <v>1290000</v>
      </c>
      <c r="I650" s="5">
        <f t="shared" si="10"/>
        <v>387000</v>
      </c>
    </row>
    <row r="651" spans="1:9" x14ac:dyDescent="0.3">
      <c r="A651" t="s">
        <v>463</v>
      </c>
      <c r="B651" t="s">
        <v>43</v>
      </c>
      <c r="C651" t="s">
        <v>10</v>
      </c>
      <c r="D651" t="s">
        <v>11</v>
      </c>
      <c r="E651">
        <v>54</v>
      </c>
      <c r="F651" s="6">
        <v>3500</v>
      </c>
      <c r="G651" s="6">
        <v>2500</v>
      </c>
      <c r="H651" s="6">
        <v>189000</v>
      </c>
      <c r="I651" s="5">
        <f t="shared" si="10"/>
        <v>54000</v>
      </c>
    </row>
    <row r="652" spans="1:9" x14ac:dyDescent="0.3">
      <c r="A652" t="s">
        <v>332</v>
      </c>
      <c r="B652" t="s">
        <v>23</v>
      </c>
      <c r="C652" t="s">
        <v>14</v>
      </c>
      <c r="D652" t="s">
        <v>31</v>
      </c>
      <c r="E652">
        <v>133</v>
      </c>
      <c r="F652" s="6">
        <v>1000</v>
      </c>
      <c r="G652" s="6">
        <v>700</v>
      </c>
      <c r="H652" s="6">
        <v>133000</v>
      </c>
      <c r="I652" s="5">
        <f t="shared" si="10"/>
        <v>39900</v>
      </c>
    </row>
    <row r="653" spans="1:9" x14ac:dyDescent="0.3">
      <c r="A653" t="s">
        <v>167</v>
      </c>
      <c r="B653" t="s">
        <v>9</v>
      </c>
      <c r="C653" t="s">
        <v>17</v>
      </c>
      <c r="D653" t="s">
        <v>31</v>
      </c>
      <c r="E653">
        <v>107</v>
      </c>
      <c r="F653" s="6">
        <v>1000</v>
      </c>
      <c r="G653" s="6">
        <v>700</v>
      </c>
      <c r="H653" s="6">
        <v>107000</v>
      </c>
      <c r="I653" s="5">
        <f t="shared" si="10"/>
        <v>32100</v>
      </c>
    </row>
    <row r="654" spans="1:9" x14ac:dyDescent="0.3">
      <c r="A654" t="s">
        <v>152</v>
      </c>
      <c r="B654" t="s">
        <v>43</v>
      </c>
      <c r="C654" t="s">
        <v>26</v>
      </c>
      <c r="D654" t="s">
        <v>21</v>
      </c>
      <c r="E654">
        <v>97</v>
      </c>
      <c r="F654" s="6">
        <v>600</v>
      </c>
      <c r="G654" s="6">
        <v>400</v>
      </c>
      <c r="H654" s="6">
        <v>58200</v>
      </c>
      <c r="I654" s="5">
        <f t="shared" si="10"/>
        <v>19400</v>
      </c>
    </row>
    <row r="655" spans="1:9" x14ac:dyDescent="0.3">
      <c r="A655" t="s">
        <v>71</v>
      </c>
      <c r="B655" t="s">
        <v>36</v>
      </c>
      <c r="C655" t="s">
        <v>14</v>
      </c>
      <c r="D655" t="s">
        <v>11</v>
      </c>
      <c r="E655">
        <v>53</v>
      </c>
      <c r="F655" s="6">
        <v>3500</v>
      </c>
      <c r="G655" s="6">
        <v>2500</v>
      </c>
      <c r="H655" s="6">
        <v>185500</v>
      </c>
      <c r="I655" s="5">
        <f t="shared" si="10"/>
        <v>53000</v>
      </c>
    </row>
    <row r="656" spans="1:9" x14ac:dyDescent="0.3">
      <c r="A656" t="s">
        <v>464</v>
      </c>
      <c r="B656" t="s">
        <v>43</v>
      </c>
      <c r="C656" t="s">
        <v>26</v>
      </c>
      <c r="D656" t="s">
        <v>34</v>
      </c>
      <c r="E656">
        <v>65</v>
      </c>
      <c r="F656" s="6">
        <v>10000</v>
      </c>
      <c r="G656" s="6">
        <v>7000</v>
      </c>
      <c r="H656" s="6">
        <v>650000</v>
      </c>
      <c r="I656" s="5">
        <f t="shared" si="10"/>
        <v>195000</v>
      </c>
    </row>
    <row r="657" spans="1:9" x14ac:dyDescent="0.3">
      <c r="A657" t="s">
        <v>117</v>
      </c>
      <c r="B657" t="s">
        <v>40</v>
      </c>
      <c r="C657" t="s">
        <v>26</v>
      </c>
      <c r="D657" t="s">
        <v>34</v>
      </c>
      <c r="E657">
        <v>97</v>
      </c>
      <c r="F657" s="6">
        <v>10000</v>
      </c>
      <c r="G657" s="6">
        <v>7000</v>
      </c>
      <c r="H657" s="6">
        <v>970000</v>
      </c>
      <c r="I657" s="5">
        <f t="shared" si="10"/>
        <v>291000</v>
      </c>
    </row>
    <row r="658" spans="1:9" x14ac:dyDescent="0.3">
      <c r="A658" t="s">
        <v>465</v>
      </c>
      <c r="B658" t="s">
        <v>20</v>
      </c>
      <c r="C658" t="s">
        <v>17</v>
      </c>
      <c r="D658" t="s">
        <v>34</v>
      </c>
      <c r="E658">
        <v>80</v>
      </c>
      <c r="F658" s="6">
        <v>10000</v>
      </c>
      <c r="G658" s="6">
        <v>7000</v>
      </c>
      <c r="H658" s="6">
        <v>800000</v>
      </c>
      <c r="I658" s="5">
        <f t="shared" si="10"/>
        <v>240000</v>
      </c>
    </row>
    <row r="659" spans="1:9" x14ac:dyDescent="0.3">
      <c r="A659" t="s">
        <v>466</v>
      </c>
      <c r="B659" t="s">
        <v>13</v>
      </c>
      <c r="C659" t="s">
        <v>17</v>
      </c>
      <c r="D659" t="s">
        <v>15</v>
      </c>
      <c r="E659">
        <v>77</v>
      </c>
      <c r="F659" s="6">
        <v>4000</v>
      </c>
      <c r="G659" s="6">
        <v>3000</v>
      </c>
      <c r="H659" s="6">
        <v>308000</v>
      </c>
      <c r="I659" s="5">
        <f t="shared" si="10"/>
        <v>77000</v>
      </c>
    </row>
    <row r="660" spans="1:9" x14ac:dyDescent="0.3">
      <c r="A660" t="s">
        <v>467</v>
      </c>
      <c r="B660" t="s">
        <v>9</v>
      </c>
      <c r="C660" t="s">
        <v>26</v>
      </c>
      <c r="D660" t="s">
        <v>15</v>
      </c>
      <c r="E660">
        <v>72</v>
      </c>
      <c r="F660" s="6">
        <v>4000</v>
      </c>
      <c r="G660" s="6">
        <v>3000</v>
      </c>
      <c r="H660" s="6">
        <v>288000</v>
      </c>
      <c r="I660" s="5">
        <f t="shared" si="10"/>
        <v>72000</v>
      </c>
    </row>
    <row r="661" spans="1:9" x14ac:dyDescent="0.3">
      <c r="A661" t="s">
        <v>230</v>
      </c>
      <c r="B661" t="s">
        <v>36</v>
      </c>
      <c r="C661" t="s">
        <v>14</v>
      </c>
      <c r="D661" t="s">
        <v>18</v>
      </c>
      <c r="E661">
        <v>113</v>
      </c>
      <c r="F661" s="6">
        <v>6000</v>
      </c>
      <c r="G661" s="6">
        <v>4000</v>
      </c>
      <c r="H661" s="6">
        <v>678000</v>
      </c>
      <c r="I661" s="5">
        <f t="shared" si="10"/>
        <v>226000</v>
      </c>
    </row>
    <row r="662" spans="1:9" x14ac:dyDescent="0.3">
      <c r="A662" t="s">
        <v>395</v>
      </c>
      <c r="B662" t="s">
        <v>28</v>
      </c>
      <c r="C662" t="s">
        <v>26</v>
      </c>
      <c r="D662" t="s">
        <v>31</v>
      </c>
      <c r="E662">
        <v>140</v>
      </c>
      <c r="F662" s="6">
        <v>1000</v>
      </c>
      <c r="G662" s="6">
        <v>700</v>
      </c>
      <c r="H662" s="6">
        <v>140000</v>
      </c>
      <c r="I662" s="5">
        <f t="shared" si="10"/>
        <v>42000</v>
      </c>
    </row>
    <row r="663" spans="1:9" x14ac:dyDescent="0.3">
      <c r="A663" t="s">
        <v>450</v>
      </c>
      <c r="B663" t="s">
        <v>43</v>
      </c>
      <c r="C663" t="s">
        <v>17</v>
      </c>
      <c r="D663" t="s">
        <v>34</v>
      </c>
      <c r="E663">
        <v>97</v>
      </c>
      <c r="F663" s="6">
        <v>10000</v>
      </c>
      <c r="G663" s="6">
        <v>7000</v>
      </c>
      <c r="H663" s="6">
        <v>970000</v>
      </c>
      <c r="I663" s="5">
        <f t="shared" si="10"/>
        <v>291000</v>
      </c>
    </row>
    <row r="664" spans="1:9" x14ac:dyDescent="0.3">
      <c r="A664" t="s">
        <v>468</v>
      </c>
      <c r="B664" t="s">
        <v>43</v>
      </c>
      <c r="C664" t="s">
        <v>14</v>
      </c>
      <c r="D664" t="s">
        <v>11</v>
      </c>
      <c r="E664">
        <v>132</v>
      </c>
      <c r="F664" s="6">
        <v>3500</v>
      </c>
      <c r="G664" s="6">
        <v>2500</v>
      </c>
      <c r="H664" s="6">
        <v>462000</v>
      </c>
      <c r="I664" s="5">
        <f t="shared" si="10"/>
        <v>132000</v>
      </c>
    </row>
    <row r="665" spans="1:9" x14ac:dyDescent="0.3">
      <c r="A665" t="s">
        <v>371</v>
      </c>
      <c r="B665" t="s">
        <v>40</v>
      </c>
      <c r="C665" t="s">
        <v>26</v>
      </c>
      <c r="D665" t="s">
        <v>31</v>
      </c>
      <c r="E665">
        <v>116</v>
      </c>
      <c r="F665" s="6">
        <v>1000</v>
      </c>
      <c r="G665" s="6">
        <v>700</v>
      </c>
      <c r="H665" s="6">
        <v>116000</v>
      </c>
      <c r="I665" s="5">
        <f t="shared" si="10"/>
        <v>34800</v>
      </c>
    </row>
    <row r="666" spans="1:9" x14ac:dyDescent="0.3">
      <c r="A666" t="s">
        <v>163</v>
      </c>
      <c r="B666" t="s">
        <v>58</v>
      </c>
      <c r="C666" t="s">
        <v>10</v>
      </c>
      <c r="D666" t="s">
        <v>24</v>
      </c>
      <c r="E666">
        <v>93</v>
      </c>
      <c r="F666" s="6">
        <v>1200</v>
      </c>
      <c r="G666" s="6">
        <v>800</v>
      </c>
      <c r="H666" s="6">
        <v>111600</v>
      </c>
      <c r="I666" s="5">
        <f t="shared" si="10"/>
        <v>37200</v>
      </c>
    </row>
    <row r="667" spans="1:9" x14ac:dyDescent="0.3">
      <c r="A667" t="s">
        <v>469</v>
      </c>
      <c r="B667" t="s">
        <v>28</v>
      </c>
      <c r="C667" t="s">
        <v>14</v>
      </c>
      <c r="D667" t="s">
        <v>11</v>
      </c>
      <c r="E667">
        <v>57</v>
      </c>
      <c r="F667" s="6">
        <v>3500</v>
      </c>
      <c r="G667" s="6">
        <v>2500</v>
      </c>
      <c r="H667" s="6">
        <v>199500</v>
      </c>
      <c r="I667" s="5">
        <f t="shared" si="10"/>
        <v>57000</v>
      </c>
    </row>
    <row r="668" spans="1:9" x14ac:dyDescent="0.3">
      <c r="A668" t="s">
        <v>459</v>
      </c>
      <c r="B668" t="s">
        <v>58</v>
      </c>
      <c r="C668" t="s">
        <v>10</v>
      </c>
      <c r="D668" t="s">
        <v>11</v>
      </c>
      <c r="E668">
        <v>130</v>
      </c>
      <c r="F668" s="6">
        <v>3500</v>
      </c>
      <c r="G668" s="6">
        <v>2500</v>
      </c>
      <c r="H668" s="6">
        <v>455000</v>
      </c>
      <c r="I668" s="5">
        <f t="shared" si="10"/>
        <v>130000</v>
      </c>
    </row>
    <row r="669" spans="1:9" x14ac:dyDescent="0.3">
      <c r="A669" t="s">
        <v>215</v>
      </c>
      <c r="B669" t="s">
        <v>23</v>
      </c>
      <c r="C669" t="s">
        <v>10</v>
      </c>
      <c r="D669" t="s">
        <v>34</v>
      </c>
      <c r="E669">
        <v>68</v>
      </c>
      <c r="F669" s="6">
        <v>10000</v>
      </c>
      <c r="G669" s="6">
        <v>7000</v>
      </c>
      <c r="H669" s="6">
        <v>680000</v>
      </c>
      <c r="I669" s="5">
        <f t="shared" si="10"/>
        <v>204000</v>
      </c>
    </row>
    <row r="670" spans="1:9" x14ac:dyDescent="0.3">
      <c r="A670" t="s">
        <v>267</v>
      </c>
      <c r="B670" t="s">
        <v>28</v>
      </c>
      <c r="C670" t="s">
        <v>14</v>
      </c>
      <c r="D670" t="s">
        <v>34</v>
      </c>
      <c r="E670">
        <v>77</v>
      </c>
      <c r="F670" s="6">
        <v>10000</v>
      </c>
      <c r="G670" s="6">
        <v>7000</v>
      </c>
      <c r="H670" s="6">
        <v>770000</v>
      </c>
      <c r="I670" s="5">
        <f t="shared" si="10"/>
        <v>231000</v>
      </c>
    </row>
    <row r="671" spans="1:9" x14ac:dyDescent="0.3">
      <c r="A671" t="s">
        <v>330</v>
      </c>
      <c r="B671" t="s">
        <v>13</v>
      </c>
      <c r="C671" t="s">
        <v>26</v>
      </c>
      <c r="D671" t="s">
        <v>21</v>
      </c>
      <c r="E671">
        <v>59</v>
      </c>
      <c r="F671" s="6">
        <v>600</v>
      </c>
      <c r="G671" s="6">
        <v>400</v>
      </c>
      <c r="H671" s="6">
        <v>35400</v>
      </c>
      <c r="I671" s="5">
        <f t="shared" si="10"/>
        <v>11800</v>
      </c>
    </row>
    <row r="672" spans="1:9" x14ac:dyDescent="0.3">
      <c r="A672" t="s">
        <v>67</v>
      </c>
      <c r="B672" t="s">
        <v>40</v>
      </c>
      <c r="C672" t="s">
        <v>26</v>
      </c>
      <c r="D672" t="s">
        <v>34</v>
      </c>
      <c r="E672">
        <v>129</v>
      </c>
      <c r="F672" s="6">
        <v>10000</v>
      </c>
      <c r="G672" s="6">
        <v>7000</v>
      </c>
      <c r="H672" s="6">
        <v>1290000</v>
      </c>
      <c r="I672" s="5">
        <f t="shared" si="10"/>
        <v>387000</v>
      </c>
    </row>
    <row r="673" spans="1:9" x14ac:dyDescent="0.3">
      <c r="A673" t="s">
        <v>375</v>
      </c>
      <c r="B673" t="s">
        <v>20</v>
      </c>
      <c r="C673" t="s">
        <v>26</v>
      </c>
      <c r="D673" t="s">
        <v>15</v>
      </c>
      <c r="E673">
        <v>74</v>
      </c>
      <c r="F673" s="6">
        <v>4000</v>
      </c>
      <c r="G673" s="6">
        <v>3000</v>
      </c>
      <c r="H673" s="6">
        <v>296000</v>
      </c>
      <c r="I673" s="5">
        <f t="shared" si="10"/>
        <v>74000</v>
      </c>
    </row>
    <row r="674" spans="1:9" x14ac:dyDescent="0.3">
      <c r="A674" t="s">
        <v>284</v>
      </c>
      <c r="B674" t="s">
        <v>40</v>
      </c>
      <c r="C674" t="s">
        <v>10</v>
      </c>
      <c r="D674" t="s">
        <v>31</v>
      </c>
      <c r="E674">
        <v>125</v>
      </c>
      <c r="F674" s="6">
        <v>1000</v>
      </c>
      <c r="G674" s="6">
        <v>700</v>
      </c>
      <c r="H674" s="6">
        <v>125000</v>
      </c>
      <c r="I674" s="5">
        <f t="shared" si="10"/>
        <v>37500</v>
      </c>
    </row>
    <row r="675" spans="1:9" x14ac:dyDescent="0.3">
      <c r="A675" t="s">
        <v>145</v>
      </c>
      <c r="B675" t="s">
        <v>13</v>
      </c>
      <c r="C675" t="s">
        <v>17</v>
      </c>
      <c r="D675" t="s">
        <v>24</v>
      </c>
      <c r="E675">
        <v>127</v>
      </c>
      <c r="F675" s="6">
        <v>1200</v>
      </c>
      <c r="G675" s="6">
        <v>800</v>
      </c>
      <c r="H675" s="6">
        <v>152400</v>
      </c>
      <c r="I675" s="5">
        <f t="shared" si="10"/>
        <v>50800</v>
      </c>
    </row>
    <row r="676" spans="1:9" x14ac:dyDescent="0.3">
      <c r="A676" t="s">
        <v>377</v>
      </c>
      <c r="B676" t="s">
        <v>20</v>
      </c>
      <c r="C676" t="s">
        <v>17</v>
      </c>
      <c r="D676" t="s">
        <v>31</v>
      </c>
      <c r="E676">
        <v>108</v>
      </c>
      <c r="F676" s="6">
        <v>1000</v>
      </c>
      <c r="G676" s="6">
        <v>700</v>
      </c>
      <c r="H676" s="6">
        <v>108000</v>
      </c>
      <c r="I676" s="5">
        <f t="shared" si="10"/>
        <v>32400</v>
      </c>
    </row>
    <row r="677" spans="1:9" x14ac:dyDescent="0.3">
      <c r="A677" t="s">
        <v>396</v>
      </c>
      <c r="B677" t="s">
        <v>58</v>
      </c>
      <c r="C677" t="s">
        <v>26</v>
      </c>
      <c r="D677" t="s">
        <v>11</v>
      </c>
      <c r="E677">
        <v>112</v>
      </c>
      <c r="F677" s="6">
        <v>3500</v>
      </c>
      <c r="G677" s="6">
        <v>2500</v>
      </c>
      <c r="H677" s="6">
        <v>392000</v>
      </c>
      <c r="I677" s="5">
        <f t="shared" si="10"/>
        <v>112000</v>
      </c>
    </row>
    <row r="678" spans="1:9" x14ac:dyDescent="0.3">
      <c r="A678" t="s">
        <v>462</v>
      </c>
      <c r="B678" t="s">
        <v>13</v>
      </c>
      <c r="C678" t="s">
        <v>26</v>
      </c>
      <c r="D678" t="s">
        <v>21</v>
      </c>
      <c r="E678">
        <v>115</v>
      </c>
      <c r="F678" s="6">
        <v>600</v>
      </c>
      <c r="G678" s="6">
        <v>400</v>
      </c>
      <c r="H678" s="6">
        <v>69000</v>
      </c>
      <c r="I678" s="5">
        <f t="shared" si="10"/>
        <v>23000</v>
      </c>
    </row>
    <row r="679" spans="1:9" x14ac:dyDescent="0.3">
      <c r="A679" t="s">
        <v>216</v>
      </c>
      <c r="B679" t="s">
        <v>36</v>
      </c>
      <c r="C679" t="s">
        <v>14</v>
      </c>
      <c r="D679" t="s">
        <v>18</v>
      </c>
      <c r="E679">
        <v>135</v>
      </c>
      <c r="F679" s="6">
        <v>6000</v>
      </c>
      <c r="G679" s="6">
        <v>4000</v>
      </c>
      <c r="H679" s="6">
        <v>810000</v>
      </c>
      <c r="I679" s="5">
        <f t="shared" si="10"/>
        <v>270000</v>
      </c>
    </row>
    <row r="680" spans="1:9" x14ac:dyDescent="0.3">
      <c r="A680" t="s">
        <v>75</v>
      </c>
      <c r="B680" t="s">
        <v>9</v>
      </c>
      <c r="C680" t="s">
        <v>17</v>
      </c>
      <c r="D680" t="s">
        <v>31</v>
      </c>
      <c r="E680">
        <v>148</v>
      </c>
      <c r="F680" s="6">
        <v>1000</v>
      </c>
      <c r="G680" s="6">
        <v>700</v>
      </c>
      <c r="H680" s="6">
        <v>148000</v>
      </c>
      <c r="I680" s="5">
        <f t="shared" si="10"/>
        <v>44400</v>
      </c>
    </row>
    <row r="681" spans="1:9" x14ac:dyDescent="0.3">
      <c r="A681" t="s">
        <v>218</v>
      </c>
      <c r="B681" t="s">
        <v>20</v>
      </c>
      <c r="C681" t="s">
        <v>17</v>
      </c>
      <c r="D681" t="s">
        <v>18</v>
      </c>
      <c r="E681">
        <v>135</v>
      </c>
      <c r="F681" s="6">
        <v>6000</v>
      </c>
      <c r="G681" s="6">
        <v>4000</v>
      </c>
      <c r="H681" s="6">
        <v>810000</v>
      </c>
      <c r="I681" s="5">
        <f t="shared" si="10"/>
        <v>270000</v>
      </c>
    </row>
    <row r="682" spans="1:9" x14ac:dyDescent="0.3">
      <c r="A682" t="s">
        <v>135</v>
      </c>
      <c r="B682" t="s">
        <v>58</v>
      </c>
      <c r="C682" t="s">
        <v>10</v>
      </c>
      <c r="D682" t="s">
        <v>15</v>
      </c>
      <c r="E682">
        <v>105</v>
      </c>
      <c r="F682" s="6">
        <v>4000</v>
      </c>
      <c r="G682" s="6">
        <v>3000</v>
      </c>
      <c r="H682" s="6">
        <v>420000</v>
      </c>
      <c r="I682" s="5">
        <f t="shared" si="10"/>
        <v>105000</v>
      </c>
    </row>
    <row r="683" spans="1:9" x14ac:dyDescent="0.3">
      <c r="A683" t="s">
        <v>470</v>
      </c>
      <c r="B683" t="s">
        <v>30</v>
      </c>
      <c r="C683" t="s">
        <v>26</v>
      </c>
      <c r="D683" t="s">
        <v>24</v>
      </c>
      <c r="E683">
        <v>143</v>
      </c>
      <c r="F683" s="6">
        <v>1200</v>
      </c>
      <c r="G683" s="6">
        <v>800</v>
      </c>
      <c r="H683" s="6">
        <v>171600</v>
      </c>
      <c r="I683" s="5">
        <f t="shared" si="10"/>
        <v>57200</v>
      </c>
    </row>
    <row r="684" spans="1:9" x14ac:dyDescent="0.3">
      <c r="A684" t="s">
        <v>471</v>
      </c>
      <c r="B684" t="s">
        <v>43</v>
      </c>
      <c r="C684" t="s">
        <v>10</v>
      </c>
      <c r="D684" t="s">
        <v>34</v>
      </c>
      <c r="E684">
        <v>109</v>
      </c>
      <c r="F684" s="6">
        <v>10000</v>
      </c>
      <c r="G684" s="6">
        <v>7000</v>
      </c>
      <c r="H684" s="6">
        <v>1090000</v>
      </c>
      <c r="I684" s="5">
        <f t="shared" si="10"/>
        <v>327000</v>
      </c>
    </row>
    <row r="685" spans="1:9" x14ac:dyDescent="0.3">
      <c r="A685" t="s">
        <v>472</v>
      </c>
      <c r="B685" t="s">
        <v>20</v>
      </c>
      <c r="C685" t="s">
        <v>17</v>
      </c>
      <c r="D685" t="s">
        <v>15</v>
      </c>
      <c r="E685">
        <v>50</v>
      </c>
      <c r="F685" s="6">
        <v>4000</v>
      </c>
      <c r="G685" s="6">
        <v>3000</v>
      </c>
      <c r="H685" s="6">
        <v>200000</v>
      </c>
      <c r="I685" s="5">
        <f t="shared" si="10"/>
        <v>50000</v>
      </c>
    </row>
    <row r="686" spans="1:9" x14ac:dyDescent="0.3">
      <c r="A686" t="s">
        <v>473</v>
      </c>
      <c r="B686" t="s">
        <v>36</v>
      </c>
      <c r="C686" t="s">
        <v>10</v>
      </c>
      <c r="D686" t="s">
        <v>34</v>
      </c>
      <c r="E686">
        <v>115</v>
      </c>
      <c r="F686" s="6">
        <v>10000</v>
      </c>
      <c r="G686" s="6">
        <v>7000</v>
      </c>
      <c r="H686" s="6">
        <v>1150000</v>
      </c>
      <c r="I686" s="5">
        <f t="shared" si="10"/>
        <v>345000</v>
      </c>
    </row>
    <row r="687" spans="1:9" x14ac:dyDescent="0.3">
      <c r="A687" t="s">
        <v>287</v>
      </c>
      <c r="B687" t="s">
        <v>58</v>
      </c>
      <c r="C687" t="s">
        <v>10</v>
      </c>
      <c r="D687" t="s">
        <v>31</v>
      </c>
      <c r="E687">
        <v>144</v>
      </c>
      <c r="F687" s="6">
        <v>1000</v>
      </c>
      <c r="G687" s="6">
        <v>700</v>
      </c>
      <c r="H687" s="6">
        <v>144000</v>
      </c>
      <c r="I687" s="5">
        <f t="shared" si="10"/>
        <v>43200</v>
      </c>
    </row>
    <row r="688" spans="1:9" x14ac:dyDescent="0.3">
      <c r="A688" t="s">
        <v>474</v>
      </c>
      <c r="B688" t="s">
        <v>43</v>
      </c>
      <c r="C688" t="s">
        <v>14</v>
      </c>
      <c r="D688" t="s">
        <v>11</v>
      </c>
      <c r="E688">
        <v>146</v>
      </c>
      <c r="F688" s="6">
        <v>3500</v>
      </c>
      <c r="G688" s="6">
        <v>2500</v>
      </c>
      <c r="H688" s="6">
        <v>511000</v>
      </c>
      <c r="I688" s="5">
        <f t="shared" si="10"/>
        <v>146000</v>
      </c>
    </row>
    <row r="689" spans="1:9" x14ac:dyDescent="0.3">
      <c r="A689" t="s">
        <v>475</v>
      </c>
      <c r="B689" t="s">
        <v>28</v>
      </c>
      <c r="C689" t="s">
        <v>17</v>
      </c>
      <c r="D689" t="s">
        <v>31</v>
      </c>
      <c r="E689">
        <v>136</v>
      </c>
      <c r="F689" s="6">
        <v>1000</v>
      </c>
      <c r="G689" s="6">
        <v>700</v>
      </c>
      <c r="H689" s="6">
        <v>136000</v>
      </c>
      <c r="I689" s="5">
        <f t="shared" si="10"/>
        <v>40800</v>
      </c>
    </row>
    <row r="690" spans="1:9" x14ac:dyDescent="0.3">
      <c r="A690" t="s">
        <v>169</v>
      </c>
      <c r="B690" t="s">
        <v>9</v>
      </c>
      <c r="C690" t="s">
        <v>14</v>
      </c>
      <c r="D690" t="s">
        <v>11</v>
      </c>
      <c r="E690">
        <v>50</v>
      </c>
      <c r="F690" s="6">
        <v>3500</v>
      </c>
      <c r="G690" s="6">
        <v>2500</v>
      </c>
      <c r="H690" s="6">
        <v>175000</v>
      </c>
      <c r="I690" s="5">
        <f t="shared" si="10"/>
        <v>50000</v>
      </c>
    </row>
    <row r="691" spans="1:9" x14ac:dyDescent="0.3">
      <c r="A691" t="s">
        <v>97</v>
      </c>
      <c r="B691" t="s">
        <v>58</v>
      </c>
      <c r="C691" t="s">
        <v>17</v>
      </c>
      <c r="D691" t="s">
        <v>21</v>
      </c>
      <c r="E691">
        <v>145</v>
      </c>
      <c r="F691" s="6">
        <v>600</v>
      </c>
      <c r="G691" s="6">
        <v>400</v>
      </c>
      <c r="H691" s="6">
        <v>87000</v>
      </c>
      <c r="I691" s="5">
        <f t="shared" si="10"/>
        <v>29000</v>
      </c>
    </row>
    <row r="692" spans="1:9" x14ac:dyDescent="0.3">
      <c r="A692" t="s">
        <v>476</v>
      </c>
      <c r="B692" t="s">
        <v>13</v>
      </c>
      <c r="C692" t="s">
        <v>14</v>
      </c>
      <c r="D692" t="s">
        <v>18</v>
      </c>
      <c r="E692">
        <v>101</v>
      </c>
      <c r="F692" s="6">
        <v>6000</v>
      </c>
      <c r="G692" s="6">
        <v>4000</v>
      </c>
      <c r="H692" s="6">
        <v>606000</v>
      </c>
      <c r="I692" s="5">
        <f t="shared" si="10"/>
        <v>202000</v>
      </c>
    </row>
    <row r="693" spans="1:9" x14ac:dyDescent="0.3">
      <c r="A693" t="s">
        <v>477</v>
      </c>
      <c r="B693" t="s">
        <v>43</v>
      </c>
      <c r="C693" t="s">
        <v>26</v>
      </c>
      <c r="D693" t="s">
        <v>31</v>
      </c>
      <c r="E693">
        <v>116</v>
      </c>
      <c r="F693" s="6">
        <v>1000</v>
      </c>
      <c r="G693" s="6">
        <v>700</v>
      </c>
      <c r="H693" s="6">
        <v>116000</v>
      </c>
      <c r="I693" s="5">
        <f t="shared" si="10"/>
        <v>34800</v>
      </c>
    </row>
    <row r="694" spans="1:9" x14ac:dyDescent="0.3">
      <c r="A694" t="s">
        <v>478</v>
      </c>
      <c r="B694" t="s">
        <v>23</v>
      </c>
      <c r="C694" t="s">
        <v>14</v>
      </c>
      <c r="D694" t="s">
        <v>21</v>
      </c>
      <c r="E694">
        <v>146</v>
      </c>
      <c r="F694" s="6">
        <v>600</v>
      </c>
      <c r="G694" s="6">
        <v>400</v>
      </c>
      <c r="H694" s="6">
        <v>87600</v>
      </c>
      <c r="I694" s="5">
        <f t="shared" si="10"/>
        <v>29200</v>
      </c>
    </row>
    <row r="695" spans="1:9" x14ac:dyDescent="0.3">
      <c r="A695" t="s">
        <v>441</v>
      </c>
      <c r="B695" t="s">
        <v>9</v>
      </c>
      <c r="C695" t="s">
        <v>14</v>
      </c>
      <c r="D695" t="s">
        <v>21</v>
      </c>
      <c r="E695">
        <v>74</v>
      </c>
      <c r="F695" s="6">
        <v>600</v>
      </c>
      <c r="G695" s="6">
        <v>400</v>
      </c>
      <c r="H695" s="6">
        <v>44400</v>
      </c>
      <c r="I695" s="5">
        <f t="shared" si="10"/>
        <v>14800</v>
      </c>
    </row>
    <row r="696" spans="1:9" x14ac:dyDescent="0.3">
      <c r="A696" t="s">
        <v>479</v>
      </c>
      <c r="B696" t="s">
        <v>20</v>
      </c>
      <c r="C696" t="s">
        <v>14</v>
      </c>
      <c r="D696" t="s">
        <v>11</v>
      </c>
      <c r="E696">
        <v>50</v>
      </c>
      <c r="F696" s="6">
        <v>3500</v>
      </c>
      <c r="G696" s="6">
        <v>2500</v>
      </c>
      <c r="H696" s="6">
        <v>175000</v>
      </c>
      <c r="I696" s="5">
        <f t="shared" si="10"/>
        <v>50000</v>
      </c>
    </row>
    <row r="697" spans="1:9" x14ac:dyDescent="0.3">
      <c r="A697" t="s">
        <v>281</v>
      </c>
      <c r="B697" t="s">
        <v>36</v>
      </c>
      <c r="C697" t="s">
        <v>26</v>
      </c>
      <c r="D697" t="s">
        <v>11</v>
      </c>
      <c r="E697">
        <v>93</v>
      </c>
      <c r="F697" s="6">
        <v>3500</v>
      </c>
      <c r="G697" s="6">
        <v>2500</v>
      </c>
      <c r="H697" s="6">
        <v>325500</v>
      </c>
      <c r="I697" s="5">
        <f t="shared" si="10"/>
        <v>93000</v>
      </c>
    </row>
    <row r="698" spans="1:9" x14ac:dyDescent="0.3">
      <c r="A698" t="s">
        <v>480</v>
      </c>
      <c r="B698" t="s">
        <v>13</v>
      </c>
      <c r="C698" t="s">
        <v>17</v>
      </c>
      <c r="D698" t="s">
        <v>21</v>
      </c>
      <c r="E698">
        <v>119</v>
      </c>
      <c r="F698" s="6">
        <v>600</v>
      </c>
      <c r="G698" s="6">
        <v>400</v>
      </c>
      <c r="H698" s="6">
        <v>71400</v>
      </c>
      <c r="I698" s="5">
        <f t="shared" si="10"/>
        <v>23800</v>
      </c>
    </row>
    <row r="699" spans="1:9" x14ac:dyDescent="0.3">
      <c r="A699" t="s">
        <v>32</v>
      </c>
      <c r="B699" t="s">
        <v>28</v>
      </c>
      <c r="C699" t="s">
        <v>10</v>
      </c>
      <c r="D699" t="s">
        <v>31</v>
      </c>
      <c r="E699">
        <v>78</v>
      </c>
      <c r="F699" s="6">
        <v>1000</v>
      </c>
      <c r="G699" s="6">
        <v>700</v>
      </c>
      <c r="H699" s="6">
        <v>78000</v>
      </c>
      <c r="I699" s="5">
        <f t="shared" si="10"/>
        <v>23400</v>
      </c>
    </row>
    <row r="700" spans="1:9" x14ac:dyDescent="0.3">
      <c r="A700" t="s">
        <v>481</v>
      </c>
      <c r="B700" t="s">
        <v>13</v>
      </c>
      <c r="C700" t="s">
        <v>14</v>
      </c>
      <c r="D700" t="s">
        <v>24</v>
      </c>
      <c r="E700">
        <v>73</v>
      </c>
      <c r="F700" s="6">
        <v>1200</v>
      </c>
      <c r="G700" s="6">
        <v>800</v>
      </c>
      <c r="H700" s="6">
        <v>87600</v>
      </c>
      <c r="I700" s="5">
        <f t="shared" si="10"/>
        <v>29200</v>
      </c>
    </row>
    <row r="701" spans="1:9" x14ac:dyDescent="0.3">
      <c r="A701" t="s">
        <v>464</v>
      </c>
      <c r="B701" t="s">
        <v>23</v>
      </c>
      <c r="C701" t="s">
        <v>26</v>
      </c>
      <c r="D701" t="s">
        <v>11</v>
      </c>
      <c r="E701">
        <v>51</v>
      </c>
      <c r="F701" s="6">
        <v>3500</v>
      </c>
      <c r="G701" s="6">
        <v>2500</v>
      </c>
      <c r="H701" s="6">
        <v>178500</v>
      </c>
      <c r="I701" s="5">
        <f t="shared" si="10"/>
        <v>51000</v>
      </c>
    </row>
    <row r="702" spans="1:9" x14ac:dyDescent="0.3">
      <c r="A702" t="s">
        <v>353</v>
      </c>
      <c r="B702" t="s">
        <v>20</v>
      </c>
      <c r="C702" t="s">
        <v>10</v>
      </c>
      <c r="D702" t="s">
        <v>34</v>
      </c>
      <c r="E702">
        <v>69</v>
      </c>
      <c r="F702" s="6">
        <v>10000</v>
      </c>
      <c r="G702" s="6">
        <v>7000</v>
      </c>
      <c r="H702" s="6">
        <v>690000</v>
      </c>
      <c r="I702" s="5">
        <f t="shared" si="10"/>
        <v>207000</v>
      </c>
    </row>
    <row r="703" spans="1:9" x14ac:dyDescent="0.3">
      <c r="A703" t="s">
        <v>454</v>
      </c>
      <c r="B703" t="s">
        <v>58</v>
      </c>
      <c r="C703" t="s">
        <v>10</v>
      </c>
      <c r="D703" t="s">
        <v>34</v>
      </c>
      <c r="E703">
        <v>116</v>
      </c>
      <c r="F703" s="6">
        <v>10000</v>
      </c>
      <c r="G703" s="6">
        <v>7000</v>
      </c>
      <c r="H703" s="6">
        <v>1160000</v>
      </c>
      <c r="I703" s="5">
        <f t="shared" si="10"/>
        <v>348000</v>
      </c>
    </row>
    <row r="704" spans="1:9" x14ac:dyDescent="0.3">
      <c r="A704" t="s">
        <v>132</v>
      </c>
      <c r="B704" t="s">
        <v>40</v>
      </c>
      <c r="C704" t="s">
        <v>26</v>
      </c>
      <c r="D704" t="s">
        <v>24</v>
      </c>
      <c r="E704">
        <v>101</v>
      </c>
      <c r="F704" s="6">
        <v>1200</v>
      </c>
      <c r="G704" s="6">
        <v>800</v>
      </c>
      <c r="H704" s="6">
        <v>121200</v>
      </c>
      <c r="I704" s="5">
        <f t="shared" si="10"/>
        <v>40400</v>
      </c>
    </row>
    <row r="705" spans="1:9" x14ac:dyDescent="0.3">
      <c r="A705" t="s">
        <v>283</v>
      </c>
      <c r="B705" t="s">
        <v>28</v>
      </c>
      <c r="C705" t="s">
        <v>14</v>
      </c>
      <c r="D705" t="s">
        <v>18</v>
      </c>
      <c r="E705">
        <v>110</v>
      </c>
      <c r="F705" s="6">
        <v>6000</v>
      </c>
      <c r="G705" s="6">
        <v>4000</v>
      </c>
      <c r="H705" s="6">
        <v>660000</v>
      </c>
      <c r="I705" s="5">
        <f t="shared" si="10"/>
        <v>220000</v>
      </c>
    </row>
    <row r="706" spans="1:9" x14ac:dyDescent="0.3">
      <c r="A706" t="s">
        <v>269</v>
      </c>
      <c r="B706" t="s">
        <v>23</v>
      </c>
      <c r="C706" t="s">
        <v>14</v>
      </c>
      <c r="D706" t="s">
        <v>21</v>
      </c>
      <c r="E706">
        <v>99</v>
      </c>
      <c r="F706" s="6">
        <v>600</v>
      </c>
      <c r="G706" s="6">
        <v>400</v>
      </c>
      <c r="H706" s="6">
        <v>59400</v>
      </c>
      <c r="I706" s="5">
        <f t="shared" ref="I706:I769" si="11">H706-(G706*E706)</f>
        <v>19800</v>
      </c>
    </row>
    <row r="707" spans="1:9" x14ac:dyDescent="0.3">
      <c r="A707" t="s">
        <v>482</v>
      </c>
      <c r="B707" t="s">
        <v>23</v>
      </c>
      <c r="C707" t="s">
        <v>26</v>
      </c>
      <c r="D707" t="s">
        <v>15</v>
      </c>
      <c r="E707">
        <v>99</v>
      </c>
      <c r="F707" s="6">
        <v>4000</v>
      </c>
      <c r="G707" s="6">
        <v>3000</v>
      </c>
      <c r="H707" s="6">
        <v>396000</v>
      </c>
      <c r="I707" s="5">
        <f t="shared" si="11"/>
        <v>99000</v>
      </c>
    </row>
    <row r="708" spans="1:9" x14ac:dyDescent="0.3">
      <c r="A708" t="s">
        <v>483</v>
      </c>
      <c r="B708" t="s">
        <v>20</v>
      </c>
      <c r="C708" t="s">
        <v>17</v>
      </c>
      <c r="D708" t="s">
        <v>15</v>
      </c>
      <c r="E708">
        <v>127</v>
      </c>
      <c r="F708" s="6">
        <v>4000</v>
      </c>
      <c r="G708" s="6">
        <v>3000</v>
      </c>
      <c r="H708" s="6">
        <v>508000</v>
      </c>
      <c r="I708" s="5">
        <f t="shared" si="11"/>
        <v>127000</v>
      </c>
    </row>
    <row r="709" spans="1:9" x14ac:dyDescent="0.3">
      <c r="A709" t="s">
        <v>440</v>
      </c>
      <c r="B709" t="s">
        <v>36</v>
      </c>
      <c r="C709" t="s">
        <v>14</v>
      </c>
      <c r="D709" t="s">
        <v>11</v>
      </c>
      <c r="E709">
        <v>120</v>
      </c>
      <c r="F709" s="6">
        <v>3500</v>
      </c>
      <c r="G709" s="6">
        <v>2500</v>
      </c>
      <c r="H709" s="6">
        <v>420000</v>
      </c>
      <c r="I709" s="5">
        <f t="shared" si="11"/>
        <v>120000</v>
      </c>
    </row>
    <row r="710" spans="1:9" x14ac:dyDescent="0.3">
      <c r="A710" t="s">
        <v>484</v>
      </c>
      <c r="B710" t="s">
        <v>9</v>
      </c>
      <c r="C710" t="s">
        <v>26</v>
      </c>
      <c r="D710" t="s">
        <v>34</v>
      </c>
      <c r="E710">
        <v>118</v>
      </c>
      <c r="F710" s="6">
        <v>10000</v>
      </c>
      <c r="G710" s="6">
        <v>7000</v>
      </c>
      <c r="H710" s="6">
        <v>1180000</v>
      </c>
      <c r="I710" s="5">
        <f t="shared" si="11"/>
        <v>354000</v>
      </c>
    </row>
    <row r="711" spans="1:9" x14ac:dyDescent="0.3">
      <c r="A711" t="s">
        <v>330</v>
      </c>
      <c r="B711" t="s">
        <v>9</v>
      </c>
      <c r="C711" t="s">
        <v>26</v>
      </c>
      <c r="D711" t="s">
        <v>34</v>
      </c>
      <c r="E711">
        <v>137</v>
      </c>
      <c r="F711" s="6">
        <v>10000</v>
      </c>
      <c r="G711" s="6">
        <v>7000</v>
      </c>
      <c r="H711" s="6">
        <v>1370000</v>
      </c>
      <c r="I711" s="5">
        <f t="shared" si="11"/>
        <v>411000</v>
      </c>
    </row>
    <row r="712" spans="1:9" x14ac:dyDescent="0.3">
      <c r="A712" t="s">
        <v>485</v>
      </c>
      <c r="B712" t="s">
        <v>58</v>
      </c>
      <c r="C712" t="s">
        <v>26</v>
      </c>
      <c r="D712" t="s">
        <v>24</v>
      </c>
      <c r="E712">
        <v>110</v>
      </c>
      <c r="F712" s="6">
        <v>1200</v>
      </c>
      <c r="G712" s="6">
        <v>800</v>
      </c>
      <c r="H712" s="6">
        <v>132000</v>
      </c>
      <c r="I712" s="5">
        <f t="shared" si="11"/>
        <v>44000</v>
      </c>
    </row>
    <row r="713" spans="1:9" x14ac:dyDescent="0.3">
      <c r="A713" t="s">
        <v>486</v>
      </c>
      <c r="B713" t="s">
        <v>9</v>
      </c>
      <c r="C713" t="s">
        <v>14</v>
      </c>
      <c r="D713" t="s">
        <v>15</v>
      </c>
      <c r="E713">
        <v>64</v>
      </c>
      <c r="F713" s="6">
        <v>4000</v>
      </c>
      <c r="G713" s="6">
        <v>3000</v>
      </c>
      <c r="H713" s="6">
        <v>256000</v>
      </c>
      <c r="I713" s="5">
        <f t="shared" si="11"/>
        <v>64000</v>
      </c>
    </row>
    <row r="714" spans="1:9" x14ac:dyDescent="0.3">
      <c r="A714" t="s">
        <v>487</v>
      </c>
      <c r="B714" t="s">
        <v>28</v>
      </c>
      <c r="C714" t="s">
        <v>10</v>
      </c>
      <c r="D714" t="s">
        <v>18</v>
      </c>
      <c r="E714">
        <v>142</v>
      </c>
      <c r="F714" s="6">
        <v>6000</v>
      </c>
      <c r="G714" s="6">
        <v>4000</v>
      </c>
      <c r="H714" s="6">
        <v>852000</v>
      </c>
      <c r="I714" s="5">
        <f t="shared" si="11"/>
        <v>284000</v>
      </c>
    </row>
    <row r="715" spans="1:9" x14ac:dyDescent="0.3">
      <c r="A715" t="s">
        <v>488</v>
      </c>
      <c r="B715" t="s">
        <v>23</v>
      </c>
      <c r="C715" t="s">
        <v>10</v>
      </c>
      <c r="D715" t="s">
        <v>34</v>
      </c>
      <c r="E715">
        <v>132</v>
      </c>
      <c r="F715" s="6">
        <v>10000</v>
      </c>
      <c r="G715" s="6">
        <v>7000</v>
      </c>
      <c r="H715" s="6">
        <v>1320000</v>
      </c>
      <c r="I715" s="5">
        <f t="shared" si="11"/>
        <v>396000</v>
      </c>
    </row>
    <row r="716" spans="1:9" x14ac:dyDescent="0.3">
      <c r="A716" t="s">
        <v>489</v>
      </c>
      <c r="B716" t="s">
        <v>13</v>
      </c>
      <c r="C716" t="s">
        <v>26</v>
      </c>
      <c r="D716" t="s">
        <v>11</v>
      </c>
      <c r="E716">
        <v>134</v>
      </c>
      <c r="F716" s="6">
        <v>3500</v>
      </c>
      <c r="G716" s="6">
        <v>2500</v>
      </c>
      <c r="H716" s="6">
        <v>469000</v>
      </c>
      <c r="I716" s="5">
        <f t="shared" si="11"/>
        <v>134000</v>
      </c>
    </row>
    <row r="717" spans="1:9" x14ac:dyDescent="0.3">
      <c r="A717" t="s">
        <v>369</v>
      </c>
      <c r="B717" t="s">
        <v>13</v>
      </c>
      <c r="C717" t="s">
        <v>26</v>
      </c>
      <c r="D717" t="s">
        <v>18</v>
      </c>
      <c r="E717">
        <v>66</v>
      </c>
      <c r="F717" s="6">
        <v>6000</v>
      </c>
      <c r="G717" s="6">
        <v>4000</v>
      </c>
      <c r="H717" s="6">
        <v>396000</v>
      </c>
      <c r="I717" s="5">
        <f t="shared" si="11"/>
        <v>132000</v>
      </c>
    </row>
    <row r="718" spans="1:9" x14ac:dyDescent="0.3">
      <c r="A718" t="s">
        <v>490</v>
      </c>
      <c r="B718" t="s">
        <v>36</v>
      </c>
      <c r="C718" t="s">
        <v>26</v>
      </c>
      <c r="D718" t="s">
        <v>15</v>
      </c>
      <c r="E718">
        <v>120</v>
      </c>
      <c r="F718" s="6">
        <v>4000</v>
      </c>
      <c r="G718" s="6">
        <v>3000</v>
      </c>
      <c r="H718" s="6">
        <v>480000</v>
      </c>
      <c r="I718" s="5">
        <f t="shared" si="11"/>
        <v>120000</v>
      </c>
    </row>
    <row r="719" spans="1:9" x14ac:dyDescent="0.3">
      <c r="A719" t="s">
        <v>491</v>
      </c>
      <c r="B719" t="s">
        <v>43</v>
      </c>
      <c r="C719" t="s">
        <v>14</v>
      </c>
      <c r="D719" t="s">
        <v>34</v>
      </c>
      <c r="E719">
        <v>150</v>
      </c>
      <c r="F719" s="6">
        <v>10000</v>
      </c>
      <c r="G719" s="6">
        <v>7000</v>
      </c>
      <c r="H719" s="6">
        <v>1500000</v>
      </c>
      <c r="I719" s="5">
        <f t="shared" si="11"/>
        <v>450000</v>
      </c>
    </row>
    <row r="720" spans="1:9" x14ac:dyDescent="0.3">
      <c r="A720" t="s">
        <v>492</v>
      </c>
      <c r="B720" t="s">
        <v>20</v>
      </c>
      <c r="C720" t="s">
        <v>10</v>
      </c>
      <c r="D720" t="s">
        <v>18</v>
      </c>
      <c r="E720">
        <v>100</v>
      </c>
      <c r="F720" s="6">
        <v>6000</v>
      </c>
      <c r="G720" s="6">
        <v>4000</v>
      </c>
      <c r="H720" s="6">
        <v>600000</v>
      </c>
      <c r="I720" s="5">
        <f t="shared" si="11"/>
        <v>200000</v>
      </c>
    </row>
    <row r="721" spans="1:9" x14ac:dyDescent="0.3">
      <c r="A721" t="s">
        <v>493</v>
      </c>
      <c r="B721" t="s">
        <v>30</v>
      </c>
      <c r="C721" t="s">
        <v>17</v>
      </c>
      <c r="D721" t="s">
        <v>21</v>
      </c>
      <c r="E721">
        <v>119</v>
      </c>
      <c r="F721" s="6">
        <v>600</v>
      </c>
      <c r="G721" s="6">
        <v>400</v>
      </c>
      <c r="H721" s="6">
        <v>71400</v>
      </c>
      <c r="I721" s="5">
        <f t="shared" si="11"/>
        <v>23800</v>
      </c>
    </row>
    <row r="722" spans="1:9" x14ac:dyDescent="0.3">
      <c r="A722" t="s">
        <v>494</v>
      </c>
      <c r="B722" t="s">
        <v>23</v>
      </c>
      <c r="C722" t="s">
        <v>14</v>
      </c>
      <c r="D722" t="s">
        <v>31</v>
      </c>
      <c r="E722">
        <v>109</v>
      </c>
      <c r="F722" s="6">
        <v>1000</v>
      </c>
      <c r="G722" s="6">
        <v>700</v>
      </c>
      <c r="H722" s="6">
        <v>109000</v>
      </c>
      <c r="I722" s="5">
        <f t="shared" si="11"/>
        <v>32700</v>
      </c>
    </row>
    <row r="723" spans="1:9" x14ac:dyDescent="0.3">
      <c r="A723" t="s">
        <v>310</v>
      </c>
      <c r="B723" t="s">
        <v>13</v>
      </c>
      <c r="C723" t="s">
        <v>17</v>
      </c>
      <c r="D723" t="s">
        <v>31</v>
      </c>
      <c r="E723">
        <v>115</v>
      </c>
      <c r="F723" s="6">
        <v>1000</v>
      </c>
      <c r="G723" s="6">
        <v>700</v>
      </c>
      <c r="H723" s="6">
        <v>115000</v>
      </c>
      <c r="I723" s="5">
        <f t="shared" si="11"/>
        <v>34500</v>
      </c>
    </row>
    <row r="724" spans="1:9" x14ac:dyDescent="0.3">
      <c r="A724" t="s">
        <v>112</v>
      </c>
      <c r="B724" t="s">
        <v>23</v>
      </c>
      <c r="C724" t="s">
        <v>17</v>
      </c>
      <c r="D724" t="s">
        <v>21</v>
      </c>
      <c r="E724">
        <v>66</v>
      </c>
      <c r="F724" s="6">
        <v>600</v>
      </c>
      <c r="G724" s="6">
        <v>400</v>
      </c>
      <c r="H724" s="6">
        <v>39600</v>
      </c>
      <c r="I724" s="5">
        <f t="shared" si="11"/>
        <v>13200</v>
      </c>
    </row>
    <row r="725" spans="1:9" x14ac:dyDescent="0.3">
      <c r="A725" t="s">
        <v>423</v>
      </c>
      <c r="B725" t="s">
        <v>30</v>
      </c>
      <c r="C725" t="s">
        <v>10</v>
      </c>
      <c r="D725" t="s">
        <v>11</v>
      </c>
      <c r="E725">
        <v>112</v>
      </c>
      <c r="F725" s="6">
        <v>3500</v>
      </c>
      <c r="G725" s="6">
        <v>2500</v>
      </c>
      <c r="H725" s="6">
        <v>392000</v>
      </c>
      <c r="I725" s="5">
        <f t="shared" si="11"/>
        <v>112000</v>
      </c>
    </row>
    <row r="726" spans="1:9" x14ac:dyDescent="0.3">
      <c r="A726" t="s">
        <v>495</v>
      </c>
      <c r="B726" t="s">
        <v>23</v>
      </c>
      <c r="C726" t="s">
        <v>14</v>
      </c>
      <c r="D726" t="s">
        <v>21</v>
      </c>
      <c r="E726">
        <v>142</v>
      </c>
      <c r="F726" s="6">
        <v>600</v>
      </c>
      <c r="G726" s="6">
        <v>400</v>
      </c>
      <c r="H726" s="6">
        <v>85200</v>
      </c>
      <c r="I726" s="5">
        <f t="shared" si="11"/>
        <v>28400</v>
      </c>
    </row>
    <row r="727" spans="1:9" x14ac:dyDescent="0.3">
      <c r="A727" t="s">
        <v>496</v>
      </c>
      <c r="B727" t="s">
        <v>58</v>
      </c>
      <c r="C727" t="s">
        <v>26</v>
      </c>
      <c r="D727" t="s">
        <v>21</v>
      </c>
      <c r="E727">
        <v>99</v>
      </c>
      <c r="F727" s="6">
        <v>600</v>
      </c>
      <c r="G727" s="6">
        <v>400</v>
      </c>
      <c r="H727" s="6">
        <v>59400</v>
      </c>
      <c r="I727" s="5">
        <f t="shared" si="11"/>
        <v>19800</v>
      </c>
    </row>
    <row r="728" spans="1:9" x14ac:dyDescent="0.3">
      <c r="A728" t="s">
        <v>497</v>
      </c>
      <c r="B728" t="s">
        <v>30</v>
      </c>
      <c r="C728" t="s">
        <v>26</v>
      </c>
      <c r="D728" t="s">
        <v>18</v>
      </c>
      <c r="E728">
        <v>144</v>
      </c>
      <c r="F728" s="6">
        <v>6000</v>
      </c>
      <c r="G728" s="6">
        <v>4000</v>
      </c>
      <c r="H728" s="6">
        <v>864000</v>
      </c>
      <c r="I728" s="5">
        <f t="shared" si="11"/>
        <v>288000</v>
      </c>
    </row>
    <row r="729" spans="1:9" x14ac:dyDescent="0.3">
      <c r="A729" t="s">
        <v>265</v>
      </c>
      <c r="B729" t="s">
        <v>9</v>
      </c>
      <c r="C729" t="s">
        <v>17</v>
      </c>
      <c r="D729" t="s">
        <v>34</v>
      </c>
      <c r="E729">
        <v>81</v>
      </c>
      <c r="F729" s="6">
        <v>10000</v>
      </c>
      <c r="G729" s="6">
        <v>7000</v>
      </c>
      <c r="H729" s="6">
        <v>810000</v>
      </c>
      <c r="I729" s="5">
        <f t="shared" si="11"/>
        <v>243000</v>
      </c>
    </row>
    <row r="730" spans="1:9" x14ac:dyDescent="0.3">
      <c r="A730" t="s">
        <v>446</v>
      </c>
      <c r="B730" t="s">
        <v>9</v>
      </c>
      <c r="C730" t="s">
        <v>10</v>
      </c>
      <c r="D730" t="s">
        <v>34</v>
      </c>
      <c r="E730">
        <v>146</v>
      </c>
      <c r="F730" s="6">
        <v>10000</v>
      </c>
      <c r="G730" s="6">
        <v>7000</v>
      </c>
      <c r="H730" s="6">
        <v>1460000</v>
      </c>
      <c r="I730" s="5">
        <f t="shared" si="11"/>
        <v>438000</v>
      </c>
    </row>
    <row r="731" spans="1:9" x14ac:dyDescent="0.3">
      <c r="A731" t="s">
        <v>498</v>
      </c>
      <c r="B731" t="s">
        <v>20</v>
      </c>
      <c r="C731" t="s">
        <v>14</v>
      </c>
      <c r="D731" t="s">
        <v>24</v>
      </c>
      <c r="E731">
        <v>95</v>
      </c>
      <c r="F731" s="6">
        <v>1200</v>
      </c>
      <c r="G731" s="6">
        <v>800</v>
      </c>
      <c r="H731" s="6">
        <v>114000</v>
      </c>
      <c r="I731" s="5">
        <f t="shared" si="11"/>
        <v>38000</v>
      </c>
    </row>
    <row r="732" spans="1:9" x14ac:dyDescent="0.3">
      <c r="A732" t="s">
        <v>437</v>
      </c>
      <c r="B732" t="s">
        <v>36</v>
      </c>
      <c r="C732" t="s">
        <v>14</v>
      </c>
      <c r="D732" t="s">
        <v>11</v>
      </c>
      <c r="E732">
        <v>81</v>
      </c>
      <c r="F732" s="6">
        <v>3500</v>
      </c>
      <c r="G732" s="6">
        <v>2500</v>
      </c>
      <c r="H732" s="6">
        <v>283500</v>
      </c>
      <c r="I732" s="5">
        <f t="shared" si="11"/>
        <v>81000</v>
      </c>
    </row>
    <row r="733" spans="1:9" x14ac:dyDescent="0.3">
      <c r="A733" t="s">
        <v>352</v>
      </c>
      <c r="B733" t="s">
        <v>58</v>
      </c>
      <c r="C733" t="s">
        <v>17</v>
      </c>
      <c r="D733" t="s">
        <v>24</v>
      </c>
      <c r="E733">
        <v>150</v>
      </c>
      <c r="F733" s="6">
        <v>1200</v>
      </c>
      <c r="G733" s="6">
        <v>800</v>
      </c>
      <c r="H733" s="6">
        <v>180000</v>
      </c>
      <c r="I733" s="5">
        <f t="shared" si="11"/>
        <v>60000</v>
      </c>
    </row>
    <row r="734" spans="1:9" x14ac:dyDescent="0.3">
      <c r="A734" t="s">
        <v>112</v>
      </c>
      <c r="B734" t="s">
        <v>13</v>
      </c>
      <c r="C734" t="s">
        <v>17</v>
      </c>
      <c r="D734" t="s">
        <v>21</v>
      </c>
      <c r="E734">
        <v>120</v>
      </c>
      <c r="F734" s="6">
        <v>600</v>
      </c>
      <c r="G734" s="6">
        <v>400</v>
      </c>
      <c r="H734" s="6">
        <v>72000</v>
      </c>
      <c r="I734" s="5">
        <f t="shared" si="11"/>
        <v>24000</v>
      </c>
    </row>
    <row r="735" spans="1:9" x14ac:dyDescent="0.3">
      <c r="A735" t="s">
        <v>402</v>
      </c>
      <c r="B735" t="s">
        <v>30</v>
      </c>
      <c r="C735" t="s">
        <v>14</v>
      </c>
      <c r="D735" t="s">
        <v>15</v>
      </c>
      <c r="E735">
        <v>126</v>
      </c>
      <c r="F735" s="6">
        <v>4000</v>
      </c>
      <c r="G735" s="6">
        <v>3000</v>
      </c>
      <c r="H735" s="6">
        <v>504000</v>
      </c>
      <c r="I735" s="5">
        <f t="shared" si="11"/>
        <v>126000</v>
      </c>
    </row>
    <row r="736" spans="1:9" x14ac:dyDescent="0.3">
      <c r="A736" t="s">
        <v>289</v>
      </c>
      <c r="B736" t="s">
        <v>9</v>
      </c>
      <c r="C736" t="s">
        <v>10</v>
      </c>
      <c r="D736" t="s">
        <v>24</v>
      </c>
      <c r="E736">
        <v>84</v>
      </c>
      <c r="F736" s="6">
        <v>1200</v>
      </c>
      <c r="G736" s="6">
        <v>800</v>
      </c>
      <c r="H736" s="6">
        <v>100800</v>
      </c>
      <c r="I736" s="5">
        <f t="shared" si="11"/>
        <v>33600</v>
      </c>
    </row>
    <row r="737" spans="1:9" x14ac:dyDescent="0.3">
      <c r="A737" t="s">
        <v>499</v>
      </c>
      <c r="B737" t="s">
        <v>13</v>
      </c>
      <c r="C737" t="s">
        <v>17</v>
      </c>
      <c r="D737" t="s">
        <v>18</v>
      </c>
      <c r="E737">
        <v>120</v>
      </c>
      <c r="F737" s="6">
        <v>6000</v>
      </c>
      <c r="G737" s="6">
        <v>4000</v>
      </c>
      <c r="H737" s="6">
        <v>720000</v>
      </c>
      <c r="I737" s="5">
        <f t="shared" si="11"/>
        <v>240000</v>
      </c>
    </row>
    <row r="738" spans="1:9" x14ac:dyDescent="0.3">
      <c r="A738" t="s">
        <v>161</v>
      </c>
      <c r="B738" t="s">
        <v>40</v>
      </c>
      <c r="C738" t="s">
        <v>26</v>
      </c>
      <c r="D738" t="s">
        <v>18</v>
      </c>
      <c r="E738">
        <v>60</v>
      </c>
      <c r="F738" s="6">
        <v>6000</v>
      </c>
      <c r="G738" s="6">
        <v>4000</v>
      </c>
      <c r="H738" s="6">
        <v>360000</v>
      </c>
      <c r="I738" s="5">
        <f t="shared" si="11"/>
        <v>120000</v>
      </c>
    </row>
    <row r="739" spans="1:9" x14ac:dyDescent="0.3">
      <c r="A739" t="s">
        <v>116</v>
      </c>
      <c r="B739" t="s">
        <v>58</v>
      </c>
      <c r="C739" t="s">
        <v>14</v>
      </c>
      <c r="D739" t="s">
        <v>18</v>
      </c>
      <c r="E739">
        <v>93</v>
      </c>
      <c r="F739" s="6">
        <v>6000</v>
      </c>
      <c r="G739" s="6">
        <v>4000</v>
      </c>
      <c r="H739" s="6">
        <v>558000</v>
      </c>
      <c r="I739" s="5">
        <f t="shared" si="11"/>
        <v>186000</v>
      </c>
    </row>
    <row r="740" spans="1:9" x14ac:dyDescent="0.3">
      <c r="A740" t="s">
        <v>500</v>
      </c>
      <c r="B740" t="s">
        <v>20</v>
      </c>
      <c r="C740" t="s">
        <v>17</v>
      </c>
      <c r="D740" t="s">
        <v>34</v>
      </c>
      <c r="E740">
        <v>138</v>
      </c>
      <c r="F740" s="6">
        <v>10000</v>
      </c>
      <c r="G740" s="6">
        <v>7000</v>
      </c>
      <c r="H740" s="6">
        <v>1380000</v>
      </c>
      <c r="I740" s="5">
        <f t="shared" si="11"/>
        <v>414000</v>
      </c>
    </row>
    <row r="741" spans="1:9" x14ac:dyDescent="0.3">
      <c r="A741" t="s">
        <v>160</v>
      </c>
      <c r="B741" t="s">
        <v>9</v>
      </c>
      <c r="C741" t="s">
        <v>26</v>
      </c>
      <c r="D741" t="s">
        <v>34</v>
      </c>
      <c r="E741">
        <v>145</v>
      </c>
      <c r="F741" s="6">
        <v>10000</v>
      </c>
      <c r="G741" s="6">
        <v>7000</v>
      </c>
      <c r="H741" s="6">
        <v>1450000</v>
      </c>
      <c r="I741" s="5">
        <f t="shared" si="11"/>
        <v>435000</v>
      </c>
    </row>
    <row r="742" spans="1:9" x14ac:dyDescent="0.3">
      <c r="A742" t="s">
        <v>395</v>
      </c>
      <c r="B742" t="s">
        <v>13</v>
      </c>
      <c r="C742" t="s">
        <v>14</v>
      </c>
      <c r="D742" t="s">
        <v>15</v>
      </c>
      <c r="E742">
        <v>138</v>
      </c>
      <c r="F742" s="6">
        <v>4000</v>
      </c>
      <c r="G742" s="6">
        <v>3000</v>
      </c>
      <c r="H742" s="6">
        <v>552000</v>
      </c>
      <c r="I742" s="5">
        <f t="shared" si="11"/>
        <v>138000</v>
      </c>
    </row>
    <row r="743" spans="1:9" x14ac:dyDescent="0.3">
      <c r="A743" t="s">
        <v>143</v>
      </c>
      <c r="B743" t="s">
        <v>28</v>
      </c>
      <c r="C743" t="s">
        <v>26</v>
      </c>
      <c r="D743" t="s">
        <v>31</v>
      </c>
      <c r="E743">
        <v>145</v>
      </c>
      <c r="F743" s="6">
        <v>1000</v>
      </c>
      <c r="G743" s="6">
        <v>700</v>
      </c>
      <c r="H743" s="6">
        <v>145000</v>
      </c>
      <c r="I743" s="5">
        <f t="shared" si="11"/>
        <v>43500</v>
      </c>
    </row>
    <row r="744" spans="1:9" x14ac:dyDescent="0.3">
      <c r="A744" t="s">
        <v>501</v>
      </c>
      <c r="B744" t="s">
        <v>40</v>
      </c>
      <c r="C744" t="s">
        <v>10</v>
      </c>
      <c r="D744" t="s">
        <v>21</v>
      </c>
      <c r="E744">
        <v>65</v>
      </c>
      <c r="F744" s="6">
        <v>600</v>
      </c>
      <c r="G744" s="6">
        <v>400</v>
      </c>
      <c r="H744" s="6">
        <v>39000</v>
      </c>
      <c r="I744" s="5">
        <f t="shared" si="11"/>
        <v>13000</v>
      </c>
    </row>
    <row r="745" spans="1:9" x14ac:dyDescent="0.3">
      <c r="A745" t="s">
        <v>502</v>
      </c>
      <c r="B745" t="s">
        <v>20</v>
      </c>
      <c r="C745" t="s">
        <v>14</v>
      </c>
      <c r="D745" t="s">
        <v>15</v>
      </c>
      <c r="E745">
        <v>65</v>
      </c>
      <c r="F745" s="6">
        <v>4000</v>
      </c>
      <c r="G745" s="6">
        <v>3000</v>
      </c>
      <c r="H745" s="6">
        <v>260000</v>
      </c>
      <c r="I745" s="5">
        <f t="shared" si="11"/>
        <v>65000</v>
      </c>
    </row>
    <row r="746" spans="1:9" x14ac:dyDescent="0.3">
      <c r="A746" t="s">
        <v>402</v>
      </c>
      <c r="B746" t="s">
        <v>58</v>
      </c>
      <c r="C746" t="s">
        <v>14</v>
      </c>
      <c r="D746" t="s">
        <v>31</v>
      </c>
      <c r="E746">
        <v>90</v>
      </c>
      <c r="F746" s="6">
        <v>1000</v>
      </c>
      <c r="G746" s="6">
        <v>700</v>
      </c>
      <c r="H746" s="6">
        <v>90000</v>
      </c>
      <c r="I746" s="5">
        <f t="shared" si="11"/>
        <v>27000</v>
      </c>
    </row>
    <row r="747" spans="1:9" x14ac:dyDescent="0.3">
      <c r="A747" t="s">
        <v>503</v>
      </c>
      <c r="B747" t="s">
        <v>23</v>
      </c>
      <c r="C747" t="s">
        <v>14</v>
      </c>
      <c r="D747" t="s">
        <v>24</v>
      </c>
      <c r="E747">
        <v>68</v>
      </c>
      <c r="F747" s="6">
        <v>1200</v>
      </c>
      <c r="G747" s="6">
        <v>800</v>
      </c>
      <c r="H747" s="6">
        <v>81600</v>
      </c>
      <c r="I747" s="5">
        <f t="shared" si="11"/>
        <v>27200</v>
      </c>
    </row>
    <row r="748" spans="1:9" x14ac:dyDescent="0.3">
      <c r="A748" t="s">
        <v>166</v>
      </c>
      <c r="B748" t="s">
        <v>28</v>
      </c>
      <c r="C748" t="s">
        <v>17</v>
      </c>
      <c r="D748" t="s">
        <v>11</v>
      </c>
      <c r="E748">
        <v>137</v>
      </c>
      <c r="F748" s="6">
        <v>3500</v>
      </c>
      <c r="G748" s="6">
        <v>2500</v>
      </c>
      <c r="H748" s="6">
        <v>479500</v>
      </c>
      <c r="I748" s="5">
        <f t="shared" si="11"/>
        <v>137000</v>
      </c>
    </row>
    <row r="749" spans="1:9" x14ac:dyDescent="0.3">
      <c r="A749" t="s">
        <v>504</v>
      </c>
      <c r="B749" t="s">
        <v>28</v>
      </c>
      <c r="C749" t="s">
        <v>14</v>
      </c>
      <c r="D749" t="s">
        <v>11</v>
      </c>
      <c r="E749">
        <v>88</v>
      </c>
      <c r="F749" s="6">
        <v>3500</v>
      </c>
      <c r="G749" s="6">
        <v>2500</v>
      </c>
      <c r="H749" s="6">
        <v>308000</v>
      </c>
      <c r="I749" s="5">
        <f t="shared" si="11"/>
        <v>88000</v>
      </c>
    </row>
    <row r="750" spans="1:9" x14ac:dyDescent="0.3">
      <c r="A750" t="s">
        <v>282</v>
      </c>
      <c r="B750" t="s">
        <v>36</v>
      </c>
      <c r="C750" t="s">
        <v>26</v>
      </c>
      <c r="D750" t="s">
        <v>18</v>
      </c>
      <c r="E750">
        <v>70</v>
      </c>
      <c r="F750" s="6">
        <v>6000</v>
      </c>
      <c r="G750" s="6">
        <v>4000</v>
      </c>
      <c r="H750" s="6">
        <v>420000</v>
      </c>
      <c r="I750" s="5">
        <f t="shared" si="11"/>
        <v>140000</v>
      </c>
    </row>
    <row r="751" spans="1:9" x14ac:dyDescent="0.3">
      <c r="A751" t="s">
        <v>505</v>
      </c>
      <c r="B751" t="s">
        <v>13</v>
      </c>
      <c r="C751" t="s">
        <v>14</v>
      </c>
      <c r="D751" t="s">
        <v>34</v>
      </c>
      <c r="E751">
        <v>98</v>
      </c>
      <c r="F751" s="6">
        <v>10000</v>
      </c>
      <c r="G751" s="6">
        <v>7000</v>
      </c>
      <c r="H751" s="6">
        <v>980000</v>
      </c>
      <c r="I751" s="5">
        <f t="shared" si="11"/>
        <v>294000</v>
      </c>
    </row>
    <row r="752" spans="1:9" x14ac:dyDescent="0.3">
      <c r="A752" t="s">
        <v>506</v>
      </c>
      <c r="B752" t="s">
        <v>23</v>
      </c>
      <c r="C752" t="s">
        <v>26</v>
      </c>
      <c r="D752" t="s">
        <v>21</v>
      </c>
      <c r="E752">
        <v>61</v>
      </c>
      <c r="F752" s="6">
        <v>600</v>
      </c>
      <c r="G752" s="6">
        <v>400</v>
      </c>
      <c r="H752" s="6">
        <v>36600</v>
      </c>
      <c r="I752" s="5">
        <f t="shared" si="11"/>
        <v>12200</v>
      </c>
    </row>
    <row r="753" spans="1:9" x14ac:dyDescent="0.3">
      <c r="A753" t="s">
        <v>445</v>
      </c>
      <c r="B753" t="s">
        <v>9</v>
      </c>
      <c r="C753" t="s">
        <v>10</v>
      </c>
      <c r="D753" t="s">
        <v>11</v>
      </c>
      <c r="E753">
        <v>81</v>
      </c>
      <c r="F753" s="6">
        <v>3500</v>
      </c>
      <c r="G753" s="6">
        <v>2500</v>
      </c>
      <c r="H753" s="6">
        <v>283500</v>
      </c>
      <c r="I753" s="5">
        <f t="shared" si="11"/>
        <v>81000</v>
      </c>
    </row>
    <row r="754" spans="1:9" x14ac:dyDescent="0.3">
      <c r="A754" t="s">
        <v>417</v>
      </c>
      <c r="B754" t="s">
        <v>40</v>
      </c>
      <c r="C754" t="s">
        <v>14</v>
      </c>
      <c r="D754" t="s">
        <v>11</v>
      </c>
      <c r="E754">
        <v>82</v>
      </c>
      <c r="F754" s="6">
        <v>3500</v>
      </c>
      <c r="G754" s="6">
        <v>2500</v>
      </c>
      <c r="H754" s="6">
        <v>287000</v>
      </c>
      <c r="I754" s="5">
        <f t="shared" si="11"/>
        <v>82000</v>
      </c>
    </row>
    <row r="755" spans="1:9" x14ac:dyDescent="0.3">
      <c r="A755" t="s">
        <v>507</v>
      </c>
      <c r="B755" t="s">
        <v>58</v>
      </c>
      <c r="C755" t="s">
        <v>17</v>
      </c>
      <c r="D755" t="s">
        <v>24</v>
      </c>
      <c r="E755">
        <v>99</v>
      </c>
      <c r="F755" s="6">
        <v>1200</v>
      </c>
      <c r="G755" s="6">
        <v>800</v>
      </c>
      <c r="H755" s="6">
        <v>118800</v>
      </c>
      <c r="I755" s="5">
        <f t="shared" si="11"/>
        <v>39600</v>
      </c>
    </row>
    <row r="756" spans="1:9" x14ac:dyDescent="0.3">
      <c r="A756" t="s">
        <v>508</v>
      </c>
      <c r="B756" t="s">
        <v>30</v>
      </c>
      <c r="C756" t="s">
        <v>14</v>
      </c>
      <c r="D756" t="s">
        <v>24</v>
      </c>
      <c r="E756">
        <v>71</v>
      </c>
      <c r="F756" s="6">
        <v>1200</v>
      </c>
      <c r="G756" s="6">
        <v>800</v>
      </c>
      <c r="H756" s="6">
        <v>85200</v>
      </c>
      <c r="I756" s="5">
        <f t="shared" si="11"/>
        <v>28400</v>
      </c>
    </row>
    <row r="757" spans="1:9" x14ac:dyDescent="0.3">
      <c r="A757" t="s">
        <v>245</v>
      </c>
      <c r="B757" t="s">
        <v>58</v>
      </c>
      <c r="C757" t="s">
        <v>10</v>
      </c>
      <c r="D757" t="s">
        <v>15</v>
      </c>
      <c r="E757">
        <v>148</v>
      </c>
      <c r="F757" s="6">
        <v>4000</v>
      </c>
      <c r="G757" s="6">
        <v>3000</v>
      </c>
      <c r="H757" s="6">
        <v>592000</v>
      </c>
      <c r="I757" s="5">
        <f t="shared" si="11"/>
        <v>148000</v>
      </c>
    </row>
    <row r="758" spans="1:9" x14ac:dyDescent="0.3">
      <c r="A758" t="s">
        <v>457</v>
      </c>
      <c r="B758" t="s">
        <v>30</v>
      </c>
      <c r="C758" t="s">
        <v>10</v>
      </c>
      <c r="D758" t="s">
        <v>31</v>
      </c>
      <c r="E758">
        <v>101</v>
      </c>
      <c r="F758" s="6">
        <v>1000</v>
      </c>
      <c r="G758" s="6">
        <v>700</v>
      </c>
      <c r="H758" s="6">
        <v>101000</v>
      </c>
      <c r="I758" s="5">
        <f t="shared" si="11"/>
        <v>30300</v>
      </c>
    </row>
    <row r="759" spans="1:9" x14ac:dyDescent="0.3">
      <c r="A759" t="s">
        <v>388</v>
      </c>
      <c r="B759" t="s">
        <v>58</v>
      </c>
      <c r="C759" t="s">
        <v>17</v>
      </c>
      <c r="D759" t="s">
        <v>18</v>
      </c>
      <c r="E759">
        <v>141</v>
      </c>
      <c r="F759" s="6">
        <v>6000</v>
      </c>
      <c r="G759" s="6">
        <v>4000</v>
      </c>
      <c r="H759" s="6">
        <v>846000</v>
      </c>
      <c r="I759" s="5">
        <f t="shared" si="11"/>
        <v>282000</v>
      </c>
    </row>
    <row r="760" spans="1:9" x14ac:dyDescent="0.3">
      <c r="A760" t="s">
        <v>509</v>
      </c>
      <c r="B760" t="s">
        <v>28</v>
      </c>
      <c r="C760" t="s">
        <v>14</v>
      </c>
      <c r="D760" t="s">
        <v>24</v>
      </c>
      <c r="E760">
        <v>67</v>
      </c>
      <c r="F760" s="6">
        <v>1200</v>
      </c>
      <c r="G760" s="6">
        <v>800</v>
      </c>
      <c r="H760" s="6">
        <v>80400</v>
      </c>
      <c r="I760" s="5">
        <f t="shared" si="11"/>
        <v>26800</v>
      </c>
    </row>
    <row r="761" spans="1:9" x14ac:dyDescent="0.3">
      <c r="A761" t="s">
        <v>510</v>
      </c>
      <c r="B761" t="s">
        <v>40</v>
      </c>
      <c r="C761" t="s">
        <v>26</v>
      </c>
      <c r="D761" t="s">
        <v>15</v>
      </c>
      <c r="E761">
        <v>88</v>
      </c>
      <c r="F761" s="6">
        <v>4000</v>
      </c>
      <c r="G761" s="6">
        <v>3000</v>
      </c>
      <c r="H761" s="6">
        <v>352000</v>
      </c>
      <c r="I761" s="5">
        <f t="shared" si="11"/>
        <v>88000</v>
      </c>
    </row>
    <row r="762" spans="1:9" x14ac:dyDescent="0.3">
      <c r="A762" t="s">
        <v>418</v>
      </c>
      <c r="B762" t="s">
        <v>28</v>
      </c>
      <c r="C762" t="s">
        <v>10</v>
      </c>
      <c r="D762" t="s">
        <v>15</v>
      </c>
      <c r="E762">
        <v>65</v>
      </c>
      <c r="F762" s="6">
        <v>4000</v>
      </c>
      <c r="G762" s="6">
        <v>3000</v>
      </c>
      <c r="H762" s="6">
        <v>260000</v>
      </c>
      <c r="I762" s="5">
        <f t="shared" si="11"/>
        <v>65000</v>
      </c>
    </row>
    <row r="763" spans="1:9" x14ac:dyDescent="0.3">
      <c r="A763" t="s">
        <v>511</v>
      </c>
      <c r="B763" t="s">
        <v>43</v>
      </c>
      <c r="C763" t="s">
        <v>26</v>
      </c>
      <c r="D763" t="s">
        <v>31</v>
      </c>
      <c r="E763">
        <v>72</v>
      </c>
      <c r="F763" s="6">
        <v>1000</v>
      </c>
      <c r="G763" s="6">
        <v>700</v>
      </c>
      <c r="H763" s="6">
        <v>72000</v>
      </c>
      <c r="I763" s="5">
        <f t="shared" si="11"/>
        <v>21600</v>
      </c>
    </row>
    <row r="764" spans="1:9" x14ac:dyDescent="0.3">
      <c r="A764" t="s">
        <v>512</v>
      </c>
      <c r="B764" t="s">
        <v>40</v>
      </c>
      <c r="C764" t="s">
        <v>14</v>
      </c>
      <c r="D764" t="s">
        <v>15</v>
      </c>
      <c r="E764">
        <v>114</v>
      </c>
      <c r="F764" s="6">
        <v>4000</v>
      </c>
      <c r="G764" s="6">
        <v>3000</v>
      </c>
      <c r="H764" s="6">
        <v>456000</v>
      </c>
      <c r="I764" s="5">
        <f t="shared" si="11"/>
        <v>114000</v>
      </c>
    </row>
    <row r="765" spans="1:9" x14ac:dyDescent="0.3">
      <c r="A765" t="s">
        <v>336</v>
      </c>
      <c r="B765" t="s">
        <v>9</v>
      </c>
      <c r="C765" t="s">
        <v>14</v>
      </c>
      <c r="D765" t="s">
        <v>31</v>
      </c>
      <c r="E765">
        <v>68</v>
      </c>
      <c r="F765" s="6">
        <v>1000</v>
      </c>
      <c r="G765" s="6">
        <v>700</v>
      </c>
      <c r="H765" s="6">
        <v>68000</v>
      </c>
      <c r="I765" s="5">
        <f t="shared" si="11"/>
        <v>20400</v>
      </c>
    </row>
    <row r="766" spans="1:9" x14ac:dyDescent="0.3">
      <c r="A766" t="s">
        <v>326</v>
      </c>
      <c r="B766" t="s">
        <v>23</v>
      </c>
      <c r="C766" t="s">
        <v>17</v>
      </c>
      <c r="D766" t="s">
        <v>31</v>
      </c>
      <c r="E766">
        <v>65</v>
      </c>
      <c r="F766" s="6">
        <v>1000</v>
      </c>
      <c r="G766" s="6">
        <v>700</v>
      </c>
      <c r="H766" s="6">
        <v>65000</v>
      </c>
      <c r="I766" s="5">
        <f t="shared" si="11"/>
        <v>19500</v>
      </c>
    </row>
    <row r="767" spans="1:9" x14ac:dyDescent="0.3">
      <c r="A767" t="s">
        <v>324</v>
      </c>
      <c r="B767" t="s">
        <v>13</v>
      </c>
      <c r="C767" t="s">
        <v>14</v>
      </c>
      <c r="D767" t="s">
        <v>11</v>
      </c>
      <c r="E767">
        <v>80</v>
      </c>
      <c r="F767" s="6">
        <v>3500</v>
      </c>
      <c r="G767" s="6">
        <v>2500</v>
      </c>
      <c r="H767" s="6">
        <v>280000</v>
      </c>
      <c r="I767" s="5">
        <f t="shared" si="11"/>
        <v>80000</v>
      </c>
    </row>
    <row r="768" spans="1:9" x14ac:dyDescent="0.3">
      <c r="A768" t="s">
        <v>513</v>
      </c>
      <c r="B768" t="s">
        <v>28</v>
      </c>
      <c r="C768" t="s">
        <v>14</v>
      </c>
      <c r="D768" t="s">
        <v>34</v>
      </c>
      <c r="E768">
        <v>99</v>
      </c>
      <c r="F768" s="6">
        <v>10000</v>
      </c>
      <c r="G768" s="6">
        <v>7000</v>
      </c>
      <c r="H768" s="6">
        <v>990000</v>
      </c>
      <c r="I768" s="5">
        <f t="shared" si="11"/>
        <v>297000</v>
      </c>
    </row>
    <row r="769" spans="1:9" x14ac:dyDescent="0.3">
      <c r="A769" t="s">
        <v>117</v>
      </c>
      <c r="B769" t="s">
        <v>9</v>
      </c>
      <c r="C769" t="s">
        <v>26</v>
      </c>
      <c r="D769" t="s">
        <v>11</v>
      </c>
      <c r="E769">
        <v>86</v>
      </c>
      <c r="F769" s="6">
        <v>3500</v>
      </c>
      <c r="G769" s="6">
        <v>2500</v>
      </c>
      <c r="H769" s="6">
        <v>301000</v>
      </c>
      <c r="I769" s="5">
        <f t="shared" si="11"/>
        <v>86000</v>
      </c>
    </row>
    <row r="770" spans="1:9" x14ac:dyDescent="0.3">
      <c r="A770" t="s">
        <v>183</v>
      </c>
      <c r="B770" t="s">
        <v>43</v>
      </c>
      <c r="C770" t="s">
        <v>10</v>
      </c>
      <c r="D770" t="s">
        <v>24</v>
      </c>
      <c r="E770">
        <v>112</v>
      </c>
      <c r="F770" s="6">
        <v>1200</v>
      </c>
      <c r="G770" s="6">
        <v>800</v>
      </c>
      <c r="H770" s="6">
        <v>134400</v>
      </c>
      <c r="I770" s="5">
        <f t="shared" ref="I770:I833" si="12">H770-(G770*E770)</f>
        <v>44800</v>
      </c>
    </row>
    <row r="771" spans="1:9" x14ac:dyDescent="0.3">
      <c r="A771" t="s">
        <v>514</v>
      </c>
      <c r="B771" t="s">
        <v>58</v>
      </c>
      <c r="C771" t="s">
        <v>17</v>
      </c>
      <c r="D771" t="s">
        <v>34</v>
      </c>
      <c r="E771">
        <v>78</v>
      </c>
      <c r="F771" s="6">
        <v>10000</v>
      </c>
      <c r="G771" s="6">
        <v>7000</v>
      </c>
      <c r="H771" s="6">
        <v>780000</v>
      </c>
      <c r="I771" s="5">
        <f t="shared" si="12"/>
        <v>234000</v>
      </c>
    </row>
    <row r="772" spans="1:9" x14ac:dyDescent="0.3">
      <c r="A772" t="s">
        <v>515</v>
      </c>
      <c r="B772" t="s">
        <v>58</v>
      </c>
      <c r="C772" t="s">
        <v>10</v>
      </c>
      <c r="D772" t="s">
        <v>24</v>
      </c>
      <c r="E772">
        <v>73</v>
      </c>
      <c r="F772" s="6">
        <v>1200</v>
      </c>
      <c r="G772" s="6">
        <v>800</v>
      </c>
      <c r="H772" s="6">
        <v>87600</v>
      </c>
      <c r="I772" s="5">
        <f t="shared" si="12"/>
        <v>29200</v>
      </c>
    </row>
    <row r="773" spans="1:9" x14ac:dyDescent="0.3">
      <c r="A773" t="s">
        <v>516</v>
      </c>
      <c r="B773" t="s">
        <v>13</v>
      </c>
      <c r="C773" t="s">
        <v>14</v>
      </c>
      <c r="D773" t="s">
        <v>31</v>
      </c>
      <c r="E773">
        <v>136</v>
      </c>
      <c r="F773" s="6">
        <v>1000</v>
      </c>
      <c r="G773" s="6">
        <v>700</v>
      </c>
      <c r="H773" s="6">
        <v>136000</v>
      </c>
      <c r="I773" s="5">
        <f t="shared" si="12"/>
        <v>40800</v>
      </c>
    </row>
    <row r="774" spans="1:9" x14ac:dyDescent="0.3">
      <c r="A774" t="s">
        <v>196</v>
      </c>
      <c r="B774" t="s">
        <v>13</v>
      </c>
      <c r="C774" t="s">
        <v>10</v>
      </c>
      <c r="D774" t="s">
        <v>15</v>
      </c>
      <c r="E774">
        <v>129</v>
      </c>
      <c r="F774" s="6">
        <v>4000</v>
      </c>
      <c r="G774" s="6">
        <v>3000</v>
      </c>
      <c r="H774" s="6">
        <v>516000</v>
      </c>
      <c r="I774" s="5">
        <f t="shared" si="12"/>
        <v>129000</v>
      </c>
    </row>
    <row r="775" spans="1:9" x14ac:dyDescent="0.3">
      <c r="A775" t="s">
        <v>296</v>
      </c>
      <c r="B775" t="s">
        <v>43</v>
      </c>
      <c r="C775" t="s">
        <v>10</v>
      </c>
      <c r="D775" t="s">
        <v>34</v>
      </c>
      <c r="E775">
        <v>95</v>
      </c>
      <c r="F775" s="6">
        <v>10000</v>
      </c>
      <c r="G775" s="6">
        <v>7000</v>
      </c>
      <c r="H775" s="6">
        <v>950000</v>
      </c>
      <c r="I775" s="5">
        <f t="shared" si="12"/>
        <v>285000</v>
      </c>
    </row>
    <row r="776" spans="1:9" x14ac:dyDescent="0.3">
      <c r="A776" t="s">
        <v>282</v>
      </c>
      <c r="B776" t="s">
        <v>13</v>
      </c>
      <c r="C776" t="s">
        <v>14</v>
      </c>
      <c r="D776" t="s">
        <v>31</v>
      </c>
      <c r="E776">
        <v>113</v>
      </c>
      <c r="F776" s="6">
        <v>1000</v>
      </c>
      <c r="G776" s="6">
        <v>700</v>
      </c>
      <c r="H776" s="6">
        <v>113000</v>
      </c>
      <c r="I776" s="5">
        <f t="shared" si="12"/>
        <v>33900</v>
      </c>
    </row>
    <row r="777" spans="1:9" x14ac:dyDescent="0.3">
      <c r="A777" t="s">
        <v>39</v>
      </c>
      <c r="B777" t="s">
        <v>36</v>
      </c>
      <c r="C777" t="s">
        <v>26</v>
      </c>
      <c r="D777" t="s">
        <v>21</v>
      </c>
      <c r="E777">
        <v>131</v>
      </c>
      <c r="F777" s="6">
        <v>600</v>
      </c>
      <c r="G777" s="6">
        <v>400</v>
      </c>
      <c r="H777" s="6">
        <v>78600</v>
      </c>
      <c r="I777" s="5">
        <f t="shared" si="12"/>
        <v>26200</v>
      </c>
    </row>
    <row r="778" spans="1:9" x14ac:dyDescent="0.3">
      <c r="A778" t="s">
        <v>517</v>
      </c>
      <c r="B778" t="s">
        <v>43</v>
      </c>
      <c r="C778" t="s">
        <v>10</v>
      </c>
      <c r="D778" t="s">
        <v>31</v>
      </c>
      <c r="E778">
        <v>52</v>
      </c>
      <c r="F778" s="6">
        <v>1000</v>
      </c>
      <c r="G778" s="6">
        <v>700</v>
      </c>
      <c r="H778" s="6">
        <v>52000</v>
      </c>
      <c r="I778" s="5">
        <f t="shared" si="12"/>
        <v>15600</v>
      </c>
    </row>
    <row r="779" spans="1:9" x14ac:dyDescent="0.3">
      <c r="A779" t="s">
        <v>73</v>
      </c>
      <c r="B779" t="s">
        <v>40</v>
      </c>
      <c r="C779" t="s">
        <v>17</v>
      </c>
      <c r="D779" t="s">
        <v>24</v>
      </c>
      <c r="E779">
        <v>107</v>
      </c>
      <c r="F779" s="6">
        <v>1200</v>
      </c>
      <c r="G779" s="6">
        <v>800</v>
      </c>
      <c r="H779" s="6">
        <v>128400</v>
      </c>
      <c r="I779" s="5">
        <f t="shared" si="12"/>
        <v>42800</v>
      </c>
    </row>
    <row r="780" spans="1:9" x14ac:dyDescent="0.3">
      <c r="A780" t="s">
        <v>518</v>
      </c>
      <c r="B780" t="s">
        <v>20</v>
      </c>
      <c r="C780" t="s">
        <v>17</v>
      </c>
      <c r="D780" t="s">
        <v>18</v>
      </c>
      <c r="E780">
        <v>73</v>
      </c>
      <c r="F780" s="6">
        <v>6000</v>
      </c>
      <c r="G780" s="6">
        <v>4000</v>
      </c>
      <c r="H780" s="6">
        <v>438000</v>
      </c>
      <c r="I780" s="5">
        <f t="shared" si="12"/>
        <v>146000</v>
      </c>
    </row>
    <row r="781" spans="1:9" x14ac:dyDescent="0.3">
      <c r="A781" t="s">
        <v>381</v>
      </c>
      <c r="B781" t="s">
        <v>40</v>
      </c>
      <c r="C781" t="s">
        <v>17</v>
      </c>
      <c r="D781" t="s">
        <v>31</v>
      </c>
      <c r="E781">
        <v>80</v>
      </c>
      <c r="F781" s="6">
        <v>1000</v>
      </c>
      <c r="G781" s="6">
        <v>700</v>
      </c>
      <c r="H781" s="6">
        <v>80000</v>
      </c>
      <c r="I781" s="5">
        <f t="shared" si="12"/>
        <v>24000</v>
      </c>
    </row>
    <row r="782" spans="1:9" x14ac:dyDescent="0.3">
      <c r="A782" t="s">
        <v>519</v>
      </c>
      <c r="B782" t="s">
        <v>58</v>
      </c>
      <c r="C782" t="s">
        <v>10</v>
      </c>
      <c r="D782" t="s">
        <v>34</v>
      </c>
      <c r="E782">
        <v>105</v>
      </c>
      <c r="F782" s="6">
        <v>10000</v>
      </c>
      <c r="G782" s="6">
        <v>7000</v>
      </c>
      <c r="H782" s="6">
        <v>1050000</v>
      </c>
      <c r="I782" s="5">
        <f t="shared" si="12"/>
        <v>315000</v>
      </c>
    </row>
    <row r="783" spans="1:9" x14ac:dyDescent="0.3">
      <c r="A783" t="s">
        <v>353</v>
      </c>
      <c r="B783" t="s">
        <v>30</v>
      </c>
      <c r="C783" t="s">
        <v>14</v>
      </c>
      <c r="D783" t="s">
        <v>15</v>
      </c>
      <c r="E783">
        <v>57</v>
      </c>
      <c r="F783" s="6">
        <v>4000</v>
      </c>
      <c r="G783" s="6">
        <v>3000</v>
      </c>
      <c r="H783" s="6">
        <v>228000</v>
      </c>
      <c r="I783" s="5">
        <f t="shared" si="12"/>
        <v>57000</v>
      </c>
    </row>
    <row r="784" spans="1:9" x14ac:dyDescent="0.3">
      <c r="A784" t="s">
        <v>520</v>
      </c>
      <c r="B784" t="s">
        <v>30</v>
      </c>
      <c r="C784" t="s">
        <v>14</v>
      </c>
      <c r="D784" t="s">
        <v>11</v>
      </c>
      <c r="E784">
        <v>81</v>
      </c>
      <c r="F784" s="6">
        <v>3500</v>
      </c>
      <c r="G784" s="6">
        <v>2500</v>
      </c>
      <c r="H784" s="6">
        <v>283500</v>
      </c>
      <c r="I784" s="5">
        <f t="shared" si="12"/>
        <v>81000</v>
      </c>
    </row>
    <row r="785" spans="1:9" x14ac:dyDescent="0.3">
      <c r="A785" t="s">
        <v>521</v>
      </c>
      <c r="B785" t="s">
        <v>43</v>
      </c>
      <c r="C785" t="s">
        <v>14</v>
      </c>
      <c r="D785" t="s">
        <v>21</v>
      </c>
      <c r="E785">
        <v>133</v>
      </c>
      <c r="F785" s="6">
        <v>600</v>
      </c>
      <c r="G785" s="6">
        <v>400</v>
      </c>
      <c r="H785" s="6">
        <v>79800</v>
      </c>
      <c r="I785" s="5">
        <f t="shared" si="12"/>
        <v>26600</v>
      </c>
    </row>
    <row r="786" spans="1:9" x14ac:dyDescent="0.3">
      <c r="A786" t="s">
        <v>522</v>
      </c>
      <c r="B786" t="s">
        <v>43</v>
      </c>
      <c r="C786" t="s">
        <v>17</v>
      </c>
      <c r="D786" t="s">
        <v>15</v>
      </c>
      <c r="E786">
        <v>123</v>
      </c>
      <c r="F786" s="6">
        <v>4000</v>
      </c>
      <c r="G786" s="6">
        <v>3000</v>
      </c>
      <c r="H786" s="6">
        <v>492000</v>
      </c>
      <c r="I786" s="5">
        <f t="shared" si="12"/>
        <v>123000</v>
      </c>
    </row>
    <row r="787" spans="1:9" x14ac:dyDescent="0.3">
      <c r="A787" t="s">
        <v>523</v>
      </c>
      <c r="B787" t="s">
        <v>28</v>
      </c>
      <c r="C787" t="s">
        <v>17</v>
      </c>
      <c r="D787" t="s">
        <v>11</v>
      </c>
      <c r="E787">
        <v>137</v>
      </c>
      <c r="F787" s="6">
        <v>3500</v>
      </c>
      <c r="G787" s="6">
        <v>2500</v>
      </c>
      <c r="H787" s="6">
        <v>479500</v>
      </c>
      <c r="I787" s="5">
        <f t="shared" si="12"/>
        <v>137000</v>
      </c>
    </row>
    <row r="788" spans="1:9" x14ac:dyDescent="0.3">
      <c r="A788" t="s">
        <v>201</v>
      </c>
      <c r="B788" t="s">
        <v>30</v>
      </c>
      <c r="C788" t="s">
        <v>10</v>
      </c>
      <c r="D788" t="s">
        <v>15</v>
      </c>
      <c r="E788">
        <v>66</v>
      </c>
      <c r="F788" s="6">
        <v>4000</v>
      </c>
      <c r="G788" s="6">
        <v>3000</v>
      </c>
      <c r="H788" s="6">
        <v>264000</v>
      </c>
      <c r="I788" s="5">
        <f t="shared" si="12"/>
        <v>66000</v>
      </c>
    </row>
    <row r="789" spans="1:9" x14ac:dyDescent="0.3">
      <c r="A789" t="s">
        <v>518</v>
      </c>
      <c r="B789" t="s">
        <v>36</v>
      </c>
      <c r="C789" t="s">
        <v>10</v>
      </c>
      <c r="D789" t="s">
        <v>31</v>
      </c>
      <c r="E789">
        <v>102</v>
      </c>
      <c r="F789" s="6">
        <v>1000</v>
      </c>
      <c r="G789" s="6">
        <v>700</v>
      </c>
      <c r="H789" s="6">
        <v>102000</v>
      </c>
      <c r="I789" s="5">
        <f t="shared" si="12"/>
        <v>30600</v>
      </c>
    </row>
    <row r="790" spans="1:9" x14ac:dyDescent="0.3">
      <c r="A790" t="s">
        <v>81</v>
      </c>
      <c r="B790" t="s">
        <v>30</v>
      </c>
      <c r="C790" t="s">
        <v>14</v>
      </c>
      <c r="D790" t="s">
        <v>11</v>
      </c>
      <c r="E790">
        <v>60</v>
      </c>
      <c r="F790" s="6">
        <v>3500</v>
      </c>
      <c r="G790" s="6">
        <v>2500</v>
      </c>
      <c r="H790" s="6">
        <v>210000</v>
      </c>
      <c r="I790" s="5">
        <f t="shared" si="12"/>
        <v>60000</v>
      </c>
    </row>
    <row r="791" spans="1:9" x14ac:dyDescent="0.3">
      <c r="A791" t="s">
        <v>524</v>
      </c>
      <c r="B791" t="s">
        <v>28</v>
      </c>
      <c r="C791" t="s">
        <v>26</v>
      </c>
      <c r="D791" t="s">
        <v>24</v>
      </c>
      <c r="E791">
        <v>100</v>
      </c>
      <c r="F791" s="6">
        <v>1200</v>
      </c>
      <c r="G791" s="6">
        <v>800</v>
      </c>
      <c r="H791" s="6">
        <v>120000</v>
      </c>
      <c r="I791" s="5">
        <f t="shared" si="12"/>
        <v>40000</v>
      </c>
    </row>
    <row r="792" spans="1:9" x14ac:dyDescent="0.3">
      <c r="A792" t="s">
        <v>226</v>
      </c>
      <c r="B792" t="s">
        <v>43</v>
      </c>
      <c r="C792" t="s">
        <v>10</v>
      </c>
      <c r="D792" t="s">
        <v>34</v>
      </c>
      <c r="E792">
        <v>143</v>
      </c>
      <c r="F792" s="6">
        <v>10000</v>
      </c>
      <c r="G792" s="6">
        <v>7000</v>
      </c>
      <c r="H792" s="6">
        <v>1430000</v>
      </c>
      <c r="I792" s="5">
        <f t="shared" si="12"/>
        <v>429000</v>
      </c>
    </row>
    <row r="793" spans="1:9" x14ac:dyDescent="0.3">
      <c r="A793" t="s">
        <v>227</v>
      </c>
      <c r="B793" t="s">
        <v>58</v>
      </c>
      <c r="C793" t="s">
        <v>10</v>
      </c>
      <c r="D793" t="s">
        <v>18</v>
      </c>
      <c r="E793">
        <v>51</v>
      </c>
      <c r="F793" s="6">
        <v>6000</v>
      </c>
      <c r="G793" s="6">
        <v>4000</v>
      </c>
      <c r="H793" s="6">
        <v>306000</v>
      </c>
      <c r="I793" s="5">
        <f t="shared" si="12"/>
        <v>102000</v>
      </c>
    </row>
    <row r="794" spans="1:9" x14ac:dyDescent="0.3">
      <c r="A794" t="s">
        <v>175</v>
      </c>
      <c r="B794" t="s">
        <v>58</v>
      </c>
      <c r="C794" t="s">
        <v>26</v>
      </c>
      <c r="D794" t="s">
        <v>24</v>
      </c>
      <c r="E794">
        <v>94</v>
      </c>
      <c r="F794" s="6">
        <v>1200</v>
      </c>
      <c r="G794" s="6">
        <v>800</v>
      </c>
      <c r="H794" s="6">
        <v>112800</v>
      </c>
      <c r="I794" s="5">
        <f t="shared" si="12"/>
        <v>37600</v>
      </c>
    </row>
    <row r="795" spans="1:9" x14ac:dyDescent="0.3">
      <c r="A795" t="s">
        <v>242</v>
      </c>
      <c r="B795" t="s">
        <v>13</v>
      </c>
      <c r="C795" t="s">
        <v>14</v>
      </c>
      <c r="D795" t="s">
        <v>34</v>
      </c>
      <c r="E795">
        <v>69</v>
      </c>
      <c r="F795" s="6">
        <v>10000</v>
      </c>
      <c r="G795" s="6">
        <v>7000</v>
      </c>
      <c r="H795" s="6">
        <v>690000</v>
      </c>
      <c r="I795" s="5">
        <f t="shared" si="12"/>
        <v>207000</v>
      </c>
    </row>
    <row r="796" spans="1:9" x14ac:dyDescent="0.3">
      <c r="A796" t="s">
        <v>525</v>
      </c>
      <c r="B796" t="s">
        <v>30</v>
      </c>
      <c r="C796" t="s">
        <v>17</v>
      </c>
      <c r="D796" t="s">
        <v>15</v>
      </c>
      <c r="E796">
        <v>136</v>
      </c>
      <c r="F796" s="6">
        <v>4000</v>
      </c>
      <c r="G796" s="6">
        <v>3000</v>
      </c>
      <c r="H796" s="6">
        <v>544000</v>
      </c>
      <c r="I796" s="5">
        <f t="shared" si="12"/>
        <v>136000</v>
      </c>
    </row>
    <row r="797" spans="1:9" x14ac:dyDescent="0.3">
      <c r="A797" t="s">
        <v>140</v>
      </c>
      <c r="B797" t="s">
        <v>9</v>
      </c>
      <c r="C797" t="s">
        <v>17</v>
      </c>
      <c r="D797" t="s">
        <v>18</v>
      </c>
      <c r="E797">
        <v>115</v>
      </c>
      <c r="F797" s="6">
        <v>6000</v>
      </c>
      <c r="G797" s="6">
        <v>4000</v>
      </c>
      <c r="H797" s="6">
        <v>690000</v>
      </c>
      <c r="I797" s="5">
        <f t="shared" si="12"/>
        <v>230000</v>
      </c>
    </row>
    <row r="798" spans="1:9" x14ac:dyDescent="0.3">
      <c r="A798" t="s">
        <v>190</v>
      </c>
      <c r="B798" t="s">
        <v>40</v>
      </c>
      <c r="C798" t="s">
        <v>14</v>
      </c>
      <c r="D798" t="s">
        <v>34</v>
      </c>
      <c r="E798">
        <v>66</v>
      </c>
      <c r="F798" s="6">
        <v>10000</v>
      </c>
      <c r="G798" s="6">
        <v>7000</v>
      </c>
      <c r="H798" s="6">
        <v>660000</v>
      </c>
      <c r="I798" s="5">
        <f t="shared" si="12"/>
        <v>198000</v>
      </c>
    </row>
    <row r="799" spans="1:9" x14ac:dyDescent="0.3">
      <c r="A799" t="s">
        <v>526</v>
      </c>
      <c r="B799" t="s">
        <v>36</v>
      </c>
      <c r="C799" t="s">
        <v>10</v>
      </c>
      <c r="D799" t="s">
        <v>34</v>
      </c>
      <c r="E799">
        <v>94</v>
      </c>
      <c r="F799" s="6">
        <v>10000</v>
      </c>
      <c r="G799" s="6">
        <v>7000</v>
      </c>
      <c r="H799" s="6">
        <v>940000</v>
      </c>
      <c r="I799" s="5">
        <f t="shared" si="12"/>
        <v>282000</v>
      </c>
    </row>
    <row r="800" spans="1:9" x14ac:dyDescent="0.3">
      <c r="A800" t="s">
        <v>103</v>
      </c>
      <c r="B800" t="s">
        <v>20</v>
      </c>
      <c r="C800" t="s">
        <v>17</v>
      </c>
      <c r="D800" t="s">
        <v>15</v>
      </c>
      <c r="E800">
        <v>130</v>
      </c>
      <c r="F800" s="6">
        <v>4000</v>
      </c>
      <c r="G800" s="6">
        <v>3000</v>
      </c>
      <c r="H800" s="6">
        <v>520000</v>
      </c>
      <c r="I800" s="5">
        <f t="shared" si="12"/>
        <v>130000</v>
      </c>
    </row>
    <row r="801" spans="1:9" x14ac:dyDescent="0.3">
      <c r="A801" t="s">
        <v>164</v>
      </c>
      <c r="B801" t="s">
        <v>23</v>
      </c>
      <c r="C801" t="s">
        <v>14</v>
      </c>
      <c r="D801" t="s">
        <v>31</v>
      </c>
      <c r="E801">
        <v>119</v>
      </c>
      <c r="F801" s="6">
        <v>1000</v>
      </c>
      <c r="G801" s="6">
        <v>700</v>
      </c>
      <c r="H801" s="6">
        <v>119000</v>
      </c>
      <c r="I801" s="5">
        <f t="shared" si="12"/>
        <v>35700</v>
      </c>
    </row>
    <row r="802" spans="1:9" x14ac:dyDescent="0.3">
      <c r="A802" t="s">
        <v>388</v>
      </c>
      <c r="B802" t="s">
        <v>20</v>
      </c>
      <c r="C802" t="s">
        <v>26</v>
      </c>
      <c r="D802" t="s">
        <v>24</v>
      </c>
      <c r="E802">
        <v>118</v>
      </c>
      <c r="F802" s="6">
        <v>1200</v>
      </c>
      <c r="G802" s="6">
        <v>800</v>
      </c>
      <c r="H802" s="6">
        <v>141600</v>
      </c>
      <c r="I802" s="5">
        <f t="shared" si="12"/>
        <v>47200</v>
      </c>
    </row>
    <row r="803" spans="1:9" x14ac:dyDescent="0.3">
      <c r="A803" t="s">
        <v>104</v>
      </c>
      <c r="B803" t="s">
        <v>13</v>
      </c>
      <c r="C803" t="s">
        <v>14</v>
      </c>
      <c r="D803" t="s">
        <v>15</v>
      </c>
      <c r="E803">
        <v>53</v>
      </c>
      <c r="F803" s="6">
        <v>4000</v>
      </c>
      <c r="G803" s="6">
        <v>3000</v>
      </c>
      <c r="H803" s="6">
        <v>212000</v>
      </c>
      <c r="I803" s="5">
        <f t="shared" si="12"/>
        <v>53000</v>
      </c>
    </row>
    <row r="804" spans="1:9" x14ac:dyDescent="0.3">
      <c r="A804" t="s">
        <v>295</v>
      </c>
      <c r="B804" t="s">
        <v>30</v>
      </c>
      <c r="C804" t="s">
        <v>26</v>
      </c>
      <c r="D804" t="s">
        <v>31</v>
      </c>
      <c r="E804">
        <v>114</v>
      </c>
      <c r="F804" s="6">
        <v>1000</v>
      </c>
      <c r="G804" s="6">
        <v>700</v>
      </c>
      <c r="H804" s="6">
        <v>114000</v>
      </c>
      <c r="I804" s="5">
        <f t="shared" si="12"/>
        <v>34200</v>
      </c>
    </row>
    <row r="805" spans="1:9" x14ac:dyDescent="0.3">
      <c r="A805" t="s">
        <v>156</v>
      </c>
      <c r="B805" t="s">
        <v>13</v>
      </c>
      <c r="C805" t="s">
        <v>10</v>
      </c>
      <c r="D805" t="s">
        <v>21</v>
      </c>
      <c r="E805">
        <v>119</v>
      </c>
      <c r="F805" s="6">
        <v>600</v>
      </c>
      <c r="G805" s="6">
        <v>400</v>
      </c>
      <c r="H805" s="6">
        <v>71400</v>
      </c>
      <c r="I805" s="5">
        <f t="shared" si="12"/>
        <v>23800</v>
      </c>
    </row>
    <row r="806" spans="1:9" x14ac:dyDescent="0.3">
      <c r="A806" t="s">
        <v>527</v>
      </c>
      <c r="B806" t="s">
        <v>20</v>
      </c>
      <c r="C806" t="s">
        <v>17</v>
      </c>
      <c r="D806" t="s">
        <v>34</v>
      </c>
      <c r="E806">
        <v>108</v>
      </c>
      <c r="F806" s="6">
        <v>10000</v>
      </c>
      <c r="G806" s="6">
        <v>7000</v>
      </c>
      <c r="H806" s="6">
        <v>1080000</v>
      </c>
      <c r="I806" s="5">
        <f t="shared" si="12"/>
        <v>324000</v>
      </c>
    </row>
    <row r="807" spans="1:9" x14ac:dyDescent="0.3">
      <c r="A807" t="s">
        <v>344</v>
      </c>
      <c r="B807" t="s">
        <v>40</v>
      </c>
      <c r="C807" t="s">
        <v>10</v>
      </c>
      <c r="D807" t="s">
        <v>24</v>
      </c>
      <c r="E807">
        <v>65</v>
      </c>
      <c r="F807" s="6">
        <v>1200</v>
      </c>
      <c r="G807" s="6">
        <v>800</v>
      </c>
      <c r="H807" s="6">
        <v>78000</v>
      </c>
      <c r="I807" s="5">
        <f t="shared" si="12"/>
        <v>26000</v>
      </c>
    </row>
    <row r="808" spans="1:9" x14ac:dyDescent="0.3">
      <c r="A808" t="s">
        <v>528</v>
      </c>
      <c r="B808" t="s">
        <v>28</v>
      </c>
      <c r="C808" t="s">
        <v>10</v>
      </c>
      <c r="D808" t="s">
        <v>34</v>
      </c>
      <c r="E808">
        <v>113</v>
      </c>
      <c r="F808" s="6">
        <v>10000</v>
      </c>
      <c r="G808" s="6">
        <v>7000</v>
      </c>
      <c r="H808" s="6">
        <v>1130000</v>
      </c>
      <c r="I808" s="5">
        <f t="shared" si="12"/>
        <v>339000</v>
      </c>
    </row>
    <row r="809" spans="1:9" x14ac:dyDescent="0.3">
      <c r="A809" t="s">
        <v>529</v>
      </c>
      <c r="B809" t="s">
        <v>36</v>
      </c>
      <c r="C809" t="s">
        <v>26</v>
      </c>
      <c r="D809" t="s">
        <v>21</v>
      </c>
      <c r="E809">
        <v>135</v>
      </c>
      <c r="F809" s="6">
        <v>600</v>
      </c>
      <c r="G809" s="6">
        <v>400</v>
      </c>
      <c r="H809" s="6">
        <v>81000</v>
      </c>
      <c r="I809" s="5">
        <f t="shared" si="12"/>
        <v>27000</v>
      </c>
    </row>
    <row r="810" spans="1:9" x14ac:dyDescent="0.3">
      <c r="A810" t="s">
        <v>151</v>
      </c>
      <c r="B810" t="s">
        <v>40</v>
      </c>
      <c r="C810" t="s">
        <v>26</v>
      </c>
      <c r="D810" t="s">
        <v>11</v>
      </c>
      <c r="E810">
        <v>70</v>
      </c>
      <c r="F810" s="6">
        <v>3500</v>
      </c>
      <c r="G810" s="6">
        <v>2500</v>
      </c>
      <c r="H810" s="6">
        <v>245000</v>
      </c>
      <c r="I810" s="5">
        <f t="shared" si="12"/>
        <v>70000</v>
      </c>
    </row>
    <row r="811" spans="1:9" x14ac:dyDescent="0.3">
      <c r="A811" t="s">
        <v>89</v>
      </c>
      <c r="B811" t="s">
        <v>30</v>
      </c>
      <c r="C811" t="s">
        <v>14</v>
      </c>
      <c r="D811" t="s">
        <v>11</v>
      </c>
      <c r="E811">
        <v>98</v>
      </c>
      <c r="F811" s="6">
        <v>3500</v>
      </c>
      <c r="G811" s="6">
        <v>2500</v>
      </c>
      <c r="H811" s="6">
        <v>343000</v>
      </c>
      <c r="I811" s="5">
        <f t="shared" si="12"/>
        <v>98000</v>
      </c>
    </row>
    <row r="812" spans="1:9" x14ac:dyDescent="0.3">
      <c r="A812" t="s">
        <v>478</v>
      </c>
      <c r="B812" t="s">
        <v>58</v>
      </c>
      <c r="C812" t="s">
        <v>17</v>
      </c>
      <c r="D812" t="s">
        <v>34</v>
      </c>
      <c r="E812">
        <v>61</v>
      </c>
      <c r="F812" s="6">
        <v>10000</v>
      </c>
      <c r="G812" s="6">
        <v>7000</v>
      </c>
      <c r="H812" s="6">
        <v>610000</v>
      </c>
      <c r="I812" s="5">
        <f t="shared" si="12"/>
        <v>183000</v>
      </c>
    </row>
    <row r="813" spans="1:9" x14ac:dyDescent="0.3">
      <c r="A813" t="s">
        <v>499</v>
      </c>
      <c r="B813" t="s">
        <v>20</v>
      </c>
      <c r="C813" t="s">
        <v>17</v>
      </c>
      <c r="D813" t="s">
        <v>18</v>
      </c>
      <c r="E813">
        <v>118</v>
      </c>
      <c r="F813" s="6">
        <v>6000</v>
      </c>
      <c r="G813" s="6">
        <v>4000</v>
      </c>
      <c r="H813" s="6">
        <v>708000</v>
      </c>
      <c r="I813" s="5">
        <f t="shared" si="12"/>
        <v>236000</v>
      </c>
    </row>
    <row r="814" spans="1:9" x14ac:dyDescent="0.3">
      <c r="A814" t="s">
        <v>343</v>
      </c>
      <c r="B814" t="s">
        <v>20</v>
      </c>
      <c r="C814" t="s">
        <v>14</v>
      </c>
      <c r="D814" t="s">
        <v>31</v>
      </c>
      <c r="E814">
        <v>68</v>
      </c>
      <c r="F814" s="6">
        <v>1000</v>
      </c>
      <c r="G814" s="6">
        <v>700</v>
      </c>
      <c r="H814" s="6">
        <v>68000</v>
      </c>
      <c r="I814" s="5">
        <f t="shared" si="12"/>
        <v>20400</v>
      </c>
    </row>
    <row r="815" spans="1:9" x14ac:dyDescent="0.3">
      <c r="A815" t="s">
        <v>197</v>
      </c>
      <c r="B815" t="s">
        <v>36</v>
      </c>
      <c r="C815" t="s">
        <v>17</v>
      </c>
      <c r="D815" t="s">
        <v>24</v>
      </c>
      <c r="E815">
        <v>133</v>
      </c>
      <c r="F815" s="6">
        <v>1200</v>
      </c>
      <c r="G815" s="6">
        <v>800</v>
      </c>
      <c r="H815" s="6">
        <v>159600</v>
      </c>
      <c r="I815" s="5">
        <f t="shared" si="12"/>
        <v>53200</v>
      </c>
    </row>
    <row r="816" spans="1:9" x14ac:dyDescent="0.3">
      <c r="A816" t="s">
        <v>297</v>
      </c>
      <c r="B816" t="s">
        <v>13</v>
      </c>
      <c r="C816" t="s">
        <v>26</v>
      </c>
      <c r="D816" t="s">
        <v>34</v>
      </c>
      <c r="E816">
        <v>81</v>
      </c>
      <c r="F816" s="6">
        <v>10000</v>
      </c>
      <c r="G816" s="6">
        <v>7000</v>
      </c>
      <c r="H816" s="6">
        <v>810000</v>
      </c>
      <c r="I816" s="5">
        <f t="shared" si="12"/>
        <v>243000</v>
      </c>
    </row>
    <row r="817" spans="1:9" x14ac:dyDescent="0.3">
      <c r="A817" t="s">
        <v>389</v>
      </c>
      <c r="B817" t="s">
        <v>36</v>
      </c>
      <c r="C817" t="s">
        <v>10</v>
      </c>
      <c r="D817" t="s">
        <v>24</v>
      </c>
      <c r="E817">
        <v>77</v>
      </c>
      <c r="F817" s="6">
        <v>1200</v>
      </c>
      <c r="G817" s="6">
        <v>800</v>
      </c>
      <c r="H817" s="6">
        <v>92400</v>
      </c>
      <c r="I817" s="5">
        <f t="shared" si="12"/>
        <v>30800</v>
      </c>
    </row>
    <row r="818" spans="1:9" x14ac:dyDescent="0.3">
      <c r="A818" t="s">
        <v>123</v>
      </c>
      <c r="B818" t="s">
        <v>40</v>
      </c>
      <c r="C818" t="s">
        <v>26</v>
      </c>
      <c r="D818" t="s">
        <v>18</v>
      </c>
      <c r="E818">
        <v>118</v>
      </c>
      <c r="F818" s="6">
        <v>6000</v>
      </c>
      <c r="G818" s="6">
        <v>4000</v>
      </c>
      <c r="H818" s="6">
        <v>708000</v>
      </c>
      <c r="I818" s="5">
        <f t="shared" si="12"/>
        <v>236000</v>
      </c>
    </row>
    <row r="819" spans="1:9" x14ac:dyDescent="0.3">
      <c r="A819" t="s">
        <v>175</v>
      </c>
      <c r="B819" t="s">
        <v>30</v>
      </c>
      <c r="C819" t="s">
        <v>14</v>
      </c>
      <c r="D819" t="s">
        <v>24</v>
      </c>
      <c r="E819">
        <v>147</v>
      </c>
      <c r="F819" s="6">
        <v>1200</v>
      </c>
      <c r="G819" s="6">
        <v>800</v>
      </c>
      <c r="H819" s="6">
        <v>176400</v>
      </c>
      <c r="I819" s="5">
        <f t="shared" si="12"/>
        <v>58800</v>
      </c>
    </row>
    <row r="820" spans="1:9" x14ac:dyDescent="0.3">
      <c r="A820" t="s">
        <v>530</v>
      </c>
      <c r="B820" t="s">
        <v>36</v>
      </c>
      <c r="C820" t="s">
        <v>14</v>
      </c>
      <c r="D820" t="s">
        <v>34</v>
      </c>
      <c r="E820">
        <v>107</v>
      </c>
      <c r="F820" s="6">
        <v>10000</v>
      </c>
      <c r="G820" s="6">
        <v>7000</v>
      </c>
      <c r="H820" s="6">
        <v>1070000</v>
      </c>
      <c r="I820" s="5">
        <f t="shared" si="12"/>
        <v>321000</v>
      </c>
    </row>
    <row r="821" spans="1:9" x14ac:dyDescent="0.3">
      <c r="A821" t="s">
        <v>403</v>
      </c>
      <c r="B821" t="s">
        <v>43</v>
      </c>
      <c r="C821" t="s">
        <v>26</v>
      </c>
      <c r="D821" t="s">
        <v>18</v>
      </c>
      <c r="E821">
        <v>50</v>
      </c>
      <c r="F821" s="6">
        <v>6000</v>
      </c>
      <c r="G821" s="6">
        <v>4000</v>
      </c>
      <c r="H821" s="6">
        <v>300000</v>
      </c>
      <c r="I821" s="5">
        <f t="shared" si="12"/>
        <v>100000</v>
      </c>
    </row>
    <row r="822" spans="1:9" x14ac:dyDescent="0.3">
      <c r="A822" t="s">
        <v>164</v>
      </c>
      <c r="B822" t="s">
        <v>36</v>
      </c>
      <c r="C822" t="s">
        <v>14</v>
      </c>
      <c r="D822" t="s">
        <v>34</v>
      </c>
      <c r="E822">
        <v>134</v>
      </c>
      <c r="F822" s="6">
        <v>10000</v>
      </c>
      <c r="G822" s="6">
        <v>7000</v>
      </c>
      <c r="H822" s="6">
        <v>1340000</v>
      </c>
      <c r="I822" s="5">
        <f t="shared" si="12"/>
        <v>402000</v>
      </c>
    </row>
    <row r="823" spans="1:9" x14ac:dyDescent="0.3">
      <c r="A823" t="s">
        <v>253</v>
      </c>
      <c r="B823" t="s">
        <v>43</v>
      </c>
      <c r="C823" t="s">
        <v>17</v>
      </c>
      <c r="D823" t="s">
        <v>11</v>
      </c>
      <c r="E823">
        <v>58</v>
      </c>
      <c r="F823" s="6">
        <v>3500</v>
      </c>
      <c r="G823" s="6">
        <v>2500</v>
      </c>
      <c r="H823" s="6">
        <v>203000</v>
      </c>
      <c r="I823" s="5">
        <f t="shared" si="12"/>
        <v>58000</v>
      </c>
    </row>
    <row r="824" spans="1:9" x14ac:dyDescent="0.3">
      <c r="A824" t="s">
        <v>61</v>
      </c>
      <c r="B824" t="s">
        <v>23</v>
      </c>
      <c r="C824" t="s">
        <v>26</v>
      </c>
      <c r="D824" t="s">
        <v>24</v>
      </c>
      <c r="E824">
        <v>121</v>
      </c>
      <c r="F824" s="6">
        <v>1200</v>
      </c>
      <c r="G824" s="6">
        <v>800</v>
      </c>
      <c r="H824" s="6">
        <v>145200</v>
      </c>
      <c r="I824" s="5">
        <f t="shared" si="12"/>
        <v>48400</v>
      </c>
    </row>
    <row r="825" spans="1:9" x14ac:dyDescent="0.3">
      <c r="A825" t="s">
        <v>531</v>
      </c>
      <c r="B825" t="s">
        <v>58</v>
      </c>
      <c r="C825" t="s">
        <v>26</v>
      </c>
      <c r="D825" t="s">
        <v>18</v>
      </c>
      <c r="E825">
        <v>60</v>
      </c>
      <c r="F825" s="6">
        <v>6000</v>
      </c>
      <c r="G825" s="6">
        <v>4000</v>
      </c>
      <c r="H825" s="6">
        <v>360000</v>
      </c>
      <c r="I825" s="5">
        <f t="shared" si="12"/>
        <v>120000</v>
      </c>
    </row>
    <row r="826" spans="1:9" x14ac:dyDescent="0.3">
      <c r="A826" t="s">
        <v>199</v>
      </c>
      <c r="B826" t="s">
        <v>58</v>
      </c>
      <c r="C826" t="s">
        <v>10</v>
      </c>
      <c r="D826" t="s">
        <v>18</v>
      </c>
      <c r="E826">
        <v>83</v>
      </c>
      <c r="F826" s="6">
        <v>6000</v>
      </c>
      <c r="G826" s="6">
        <v>4000</v>
      </c>
      <c r="H826" s="6">
        <v>498000</v>
      </c>
      <c r="I826" s="5">
        <f t="shared" si="12"/>
        <v>166000</v>
      </c>
    </row>
    <row r="827" spans="1:9" x14ac:dyDescent="0.3">
      <c r="A827" t="s">
        <v>441</v>
      </c>
      <c r="B827" t="s">
        <v>9</v>
      </c>
      <c r="C827" t="s">
        <v>10</v>
      </c>
      <c r="D827" t="s">
        <v>31</v>
      </c>
      <c r="E827">
        <v>127</v>
      </c>
      <c r="F827" s="6">
        <v>1000</v>
      </c>
      <c r="G827" s="6">
        <v>700</v>
      </c>
      <c r="H827" s="6">
        <v>127000</v>
      </c>
      <c r="I827" s="5">
        <f t="shared" si="12"/>
        <v>38100</v>
      </c>
    </row>
    <row r="828" spans="1:9" x14ac:dyDescent="0.3">
      <c r="A828" t="s">
        <v>112</v>
      </c>
      <c r="B828" t="s">
        <v>30</v>
      </c>
      <c r="C828" t="s">
        <v>26</v>
      </c>
      <c r="D828" t="s">
        <v>34</v>
      </c>
      <c r="E828">
        <v>142</v>
      </c>
      <c r="F828" s="6">
        <v>10000</v>
      </c>
      <c r="G828" s="6">
        <v>7000</v>
      </c>
      <c r="H828" s="6">
        <v>1420000</v>
      </c>
      <c r="I828" s="5">
        <f t="shared" si="12"/>
        <v>426000</v>
      </c>
    </row>
    <row r="829" spans="1:9" x14ac:dyDescent="0.3">
      <c r="A829" t="s">
        <v>162</v>
      </c>
      <c r="B829" t="s">
        <v>30</v>
      </c>
      <c r="C829" t="s">
        <v>10</v>
      </c>
      <c r="D829" t="s">
        <v>34</v>
      </c>
      <c r="E829">
        <v>98</v>
      </c>
      <c r="F829" s="6">
        <v>10000</v>
      </c>
      <c r="G829" s="6">
        <v>7000</v>
      </c>
      <c r="H829" s="6">
        <v>980000</v>
      </c>
      <c r="I829" s="5">
        <f t="shared" si="12"/>
        <v>294000</v>
      </c>
    </row>
    <row r="830" spans="1:9" x14ac:dyDescent="0.3">
      <c r="A830" t="s">
        <v>145</v>
      </c>
      <c r="B830" t="s">
        <v>28</v>
      </c>
      <c r="C830" t="s">
        <v>10</v>
      </c>
      <c r="D830" t="s">
        <v>34</v>
      </c>
      <c r="E830">
        <v>94</v>
      </c>
      <c r="F830" s="6">
        <v>10000</v>
      </c>
      <c r="G830" s="6">
        <v>7000</v>
      </c>
      <c r="H830" s="6">
        <v>940000</v>
      </c>
      <c r="I830" s="5">
        <f t="shared" si="12"/>
        <v>282000</v>
      </c>
    </row>
    <row r="831" spans="1:9" x14ac:dyDescent="0.3">
      <c r="A831" t="s">
        <v>59</v>
      </c>
      <c r="B831" t="s">
        <v>58</v>
      </c>
      <c r="C831" t="s">
        <v>14</v>
      </c>
      <c r="D831" t="s">
        <v>21</v>
      </c>
      <c r="E831">
        <v>147</v>
      </c>
      <c r="F831" s="6">
        <v>600</v>
      </c>
      <c r="G831" s="6">
        <v>400</v>
      </c>
      <c r="H831" s="6">
        <v>88200</v>
      </c>
      <c r="I831" s="5">
        <f t="shared" si="12"/>
        <v>29400</v>
      </c>
    </row>
    <row r="832" spans="1:9" x14ac:dyDescent="0.3">
      <c r="A832" t="s">
        <v>116</v>
      </c>
      <c r="B832" t="s">
        <v>28</v>
      </c>
      <c r="C832" t="s">
        <v>10</v>
      </c>
      <c r="D832" t="s">
        <v>18</v>
      </c>
      <c r="E832">
        <v>58</v>
      </c>
      <c r="F832" s="6">
        <v>6000</v>
      </c>
      <c r="G832" s="6">
        <v>4000</v>
      </c>
      <c r="H832" s="6">
        <v>348000</v>
      </c>
      <c r="I832" s="5">
        <f t="shared" si="12"/>
        <v>116000</v>
      </c>
    </row>
    <row r="833" spans="1:9" x14ac:dyDescent="0.3">
      <c r="A833" t="s">
        <v>426</v>
      </c>
      <c r="B833" t="s">
        <v>36</v>
      </c>
      <c r="C833" t="s">
        <v>26</v>
      </c>
      <c r="D833" t="s">
        <v>34</v>
      </c>
      <c r="E833">
        <v>58</v>
      </c>
      <c r="F833" s="6">
        <v>10000</v>
      </c>
      <c r="G833" s="6">
        <v>7000</v>
      </c>
      <c r="H833" s="6">
        <v>580000</v>
      </c>
      <c r="I833" s="5">
        <f t="shared" si="12"/>
        <v>174000</v>
      </c>
    </row>
    <row r="834" spans="1:9" x14ac:dyDescent="0.3">
      <c r="A834" t="s">
        <v>306</v>
      </c>
      <c r="B834" t="s">
        <v>9</v>
      </c>
      <c r="C834" t="s">
        <v>10</v>
      </c>
      <c r="D834" t="s">
        <v>21</v>
      </c>
      <c r="E834">
        <v>99</v>
      </c>
      <c r="F834" s="6">
        <v>600</v>
      </c>
      <c r="G834" s="6">
        <v>400</v>
      </c>
      <c r="H834" s="6">
        <v>59400</v>
      </c>
      <c r="I834" s="5">
        <f t="shared" ref="I834:I897" si="13">H834-(G834*E834)</f>
        <v>19800</v>
      </c>
    </row>
    <row r="835" spans="1:9" x14ac:dyDescent="0.3">
      <c r="A835" t="s">
        <v>428</v>
      </c>
      <c r="B835" t="s">
        <v>9</v>
      </c>
      <c r="C835" t="s">
        <v>26</v>
      </c>
      <c r="D835" t="s">
        <v>18</v>
      </c>
      <c r="E835">
        <v>116</v>
      </c>
      <c r="F835" s="6">
        <v>6000</v>
      </c>
      <c r="G835" s="6">
        <v>4000</v>
      </c>
      <c r="H835" s="6">
        <v>696000</v>
      </c>
      <c r="I835" s="5">
        <f t="shared" si="13"/>
        <v>232000</v>
      </c>
    </row>
    <row r="836" spans="1:9" x14ac:dyDescent="0.3">
      <c r="A836" t="s">
        <v>177</v>
      </c>
      <c r="B836" t="s">
        <v>30</v>
      </c>
      <c r="C836" t="s">
        <v>17</v>
      </c>
      <c r="D836" t="s">
        <v>15</v>
      </c>
      <c r="E836">
        <v>107</v>
      </c>
      <c r="F836" s="6">
        <v>4000</v>
      </c>
      <c r="G836" s="6">
        <v>3000</v>
      </c>
      <c r="H836" s="6">
        <v>428000</v>
      </c>
      <c r="I836" s="5">
        <f t="shared" si="13"/>
        <v>107000</v>
      </c>
    </row>
    <row r="837" spans="1:9" x14ac:dyDescent="0.3">
      <c r="A837" t="s">
        <v>321</v>
      </c>
      <c r="B837" t="s">
        <v>43</v>
      </c>
      <c r="C837" t="s">
        <v>26</v>
      </c>
      <c r="D837" t="s">
        <v>24</v>
      </c>
      <c r="E837">
        <v>58</v>
      </c>
      <c r="F837" s="6">
        <v>1200</v>
      </c>
      <c r="G837" s="6">
        <v>800</v>
      </c>
      <c r="H837" s="6">
        <v>69600</v>
      </c>
      <c r="I837" s="5">
        <f t="shared" si="13"/>
        <v>23200</v>
      </c>
    </row>
    <row r="838" spans="1:9" x14ac:dyDescent="0.3">
      <c r="A838" t="s">
        <v>532</v>
      </c>
      <c r="B838" t="s">
        <v>13</v>
      </c>
      <c r="C838" t="s">
        <v>10</v>
      </c>
      <c r="D838" t="s">
        <v>34</v>
      </c>
      <c r="E838">
        <v>117</v>
      </c>
      <c r="F838" s="6">
        <v>10000</v>
      </c>
      <c r="G838" s="6">
        <v>7000</v>
      </c>
      <c r="H838" s="6">
        <v>1170000</v>
      </c>
      <c r="I838" s="5">
        <f t="shared" si="13"/>
        <v>351000</v>
      </c>
    </row>
    <row r="839" spans="1:9" x14ac:dyDescent="0.3">
      <c r="A839" t="s">
        <v>170</v>
      </c>
      <c r="B839" t="s">
        <v>43</v>
      </c>
      <c r="C839" t="s">
        <v>14</v>
      </c>
      <c r="D839" t="s">
        <v>11</v>
      </c>
      <c r="E839">
        <v>86</v>
      </c>
      <c r="F839" s="6">
        <v>3500</v>
      </c>
      <c r="G839" s="6">
        <v>2500</v>
      </c>
      <c r="H839" s="6">
        <v>301000</v>
      </c>
      <c r="I839" s="5">
        <f t="shared" si="13"/>
        <v>86000</v>
      </c>
    </row>
    <row r="840" spans="1:9" x14ac:dyDescent="0.3">
      <c r="A840" t="s">
        <v>284</v>
      </c>
      <c r="B840" t="s">
        <v>28</v>
      </c>
      <c r="C840" t="s">
        <v>14</v>
      </c>
      <c r="D840" t="s">
        <v>18</v>
      </c>
      <c r="E840">
        <v>136</v>
      </c>
      <c r="F840" s="6">
        <v>6000</v>
      </c>
      <c r="G840" s="6">
        <v>4000</v>
      </c>
      <c r="H840" s="6">
        <v>816000</v>
      </c>
      <c r="I840" s="5">
        <f t="shared" si="13"/>
        <v>272000</v>
      </c>
    </row>
    <row r="841" spans="1:9" x14ac:dyDescent="0.3">
      <c r="A841" t="s">
        <v>492</v>
      </c>
      <c r="B841" t="s">
        <v>30</v>
      </c>
      <c r="C841" t="s">
        <v>14</v>
      </c>
      <c r="D841" t="s">
        <v>18</v>
      </c>
      <c r="E841">
        <v>121</v>
      </c>
      <c r="F841" s="6">
        <v>6000</v>
      </c>
      <c r="G841" s="6">
        <v>4000</v>
      </c>
      <c r="H841" s="6">
        <v>726000</v>
      </c>
      <c r="I841" s="5">
        <f t="shared" si="13"/>
        <v>242000</v>
      </c>
    </row>
    <row r="842" spans="1:9" x14ac:dyDescent="0.3">
      <c r="A842" t="s">
        <v>533</v>
      </c>
      <c r="B842" t="s">
        <v>58</v>
      </c>
      <c r="C842" t="s">
        <v>14</v>
      </c>
      <c r="D842" t="s">
        <v>11</v>
      </c>
      <c r="E842">
        <v>116</v>
      </c>
      <c r="F842" s="6">
        <v>3500</v>
      </c>
      <c r="G842" s="6">
        <v>2500</v>
      </c>
      <c r="H842" s="6">
        <v>406000</v>
      </c>
      <c r="I842" s="5">
        <f t="shared" si="13"/>
        <v>116000</v>
      </c>
    </row>
    <row r="843" spans="1:9" x14ac:dyDescent="0.3">
      <c r="A843" t="s">
        <v>259</v>
      </c>
      <c r="B843" t="s">
        <v>58</v>
      </c>
      <c r="C843" t="s">
        <v>14</v>
      </c>
      <c r="D843" t="s">
        <v>11</v>
      </c>
      <c r="E843">
        <v>140</v>
      </c>
      <c r="F843" s="6">
        <v>3500</v>
      </c>
      <c r="G843" s="6">
        <v>2500</v>
      </c>
      <c r="H843" s="6">
        <v>490000</v>
      </c>
      <c r="I843" s="5">
        <f t="shared" si="13"/>
        <v>140000</v>
      </c>
    </row>
    <row r="844" spans="1:9" x14ac:dyDescent="0.3">
      <c r="A844" t="s">
        <v>534</v>
      </c>
      <c r="B844" t="s">
        <v>13</v>
      </c>
      <c r="C844" t="s">
        <v>26</v>
      </c>
      <c r="D844" t="s">
        <v>15</v>
      </c>
      <c r="E844">
        <v>89</v>
      </c>
      <c r="F844" s="6">
        <v>4000</v>
      </c>
      <c r="G844" s="6">
        <v>3000</v>
      </c>
      <c r="H844" s="6">
        <v>356000</v>
      </c>
      <c r="I844" s="5">
        <f t="shared" si="13"/>
        <v>89000</v>
      </c>
    </row>
    <row r="845" spans="1:9" x14ac:dyDescent="0.3">
      <c r="A845" t="s">
        <v>535</v>
      </c>
      <c r="B845" t="s">
        <v>20</v>
      </c>
      <c r="C845" t="s">
        <v>26</v>
      </c>
      <c r="D845" t="s">
        <v>31</v>
      </c>
      <c r="E845">
        <v>143</v>
      </c>
      <c r="F845" s="6">
        <v>1000</v>
      </c>
      <c r="G845" s="6">
        <v>700</v>
      </c>
      <c r="H845" s="6">
        <v>143000</v>
      </c>
      <c r="I845" s="5">
        <f t="shared" si="13"/>
        <v>42900</v>
      </c>
    </row>
    <row r="846" spans="1:9" x14ac:dyDescent="0.3">
      <c r="A846" t="s">
        <v>22</v>
      </c>
      <c r="B846" t="s">
        <v>43</v>
      </c>
      <c r="C846" t="s">
        <v>17</v>
      </c>
      <c r="D846" t="s">
        <v>34</v>
      </c>
      <c r="E846">
        <v>84</v>
      </c>
      <c r="F846" s="6">
        <v>10000</v>
      </c>
      <c r="G846" s="6">
        <v>7000</v>
      </c>
      <c r="H846" s="6">
        <v>840000</v>
      </c>
      <c r="I846" s="5">
        <f t="shared" si="13"/>
        <v>252000</v>
      </c>
    </row>
    <row r="847" spans="1:9" x14ac:dyDescent="0.3">
      <c r="A847" t="s">
        <v>207</v>
      </c>
      <c r="B847" t="s">
        <v>9</v>
      </c>
      <c r="C847" t="s">
        <v>14</v>
      </c>
      <c r="D847" t="s">
        <v>15</v>
      </c>
      <c r="E847">
        <v>95</v>
      </c>
      <c r="F847" s="6">
        <v>4000</v>
      </c>
      <c r="G847" s="6">
        <v>3000</v>
      </c>
      <c r="H847" s="6">
        <v>380000</v>
      </c>
      <c r="I847" s="5">
        <f t="shared" si="13"/>
        <v>95000</v>
      </c>
    </row>
    <row r="848" spans="1:9" x14ac:dyDescent="0.3">
      <c r="A848" t="s">
        <v>317</v>
      </c>
      <c r="B848" t="s">
        <v>40</v>
      </c>
      <c r="C848" t="s">
        <v>10</v>
      </c>
      <c r="D848" t="s">
        <v>15</v>
      </c>
      <c r="E848">
        <v>121</v>
      </c>
      <c r="F848" s="6">
        <v>4000</v>
      </c>
      <c r="G848" s="6">
        <v>3000</v>
      </c>
      <c r="H848" s="6">
        <v>484000</v>
      </c>
      <c r="I848" s="5">
        <f t="shared" si="13"/>
        <v>121000</v>
      </c>
    </row>
    <row r="849" spans="1:9" x14ac:dyDescent="0.3">
      <c r="A849" t="s">
        <v>536</v>
      </c>
      <c r="B849" t="s">
        <v>13</v>
      </c>
      <c r="C849" t="s">
        <v>14</v>
      </c>
      <c r="D849" t="s">
        <v>24</v>
      </c>
      <c r="E849">
        <v>71</v>
      </c>
      <c r="F849" s="6">
        <v>1200</v>
      </c>
      <c r="G849" s="6">
        <v>800</v>
      </c>
      <c r="H849" s="6">
        <v>85200</v>
      </c>
      <c r="I849" s="5">
        <f t="shared" si="13"/>
        <v>28400</v>
      </c>
    </row>
    <row r="850" spans="1:9" x14ac:dyDescent="0.3">
      <c r="A850" t="s">
        <v>127</v>
      </c>
      <c r="B850" t="s">
        <v>58</v>
      </c>
      <c r="C850" t="s">
        <v>17</v>
      </c>
      <c r="D850" t="s">
        <v>11</v>
      </c>
      <c r="E850">
        <v>147</v>
      </c>
      <c r="F850" s="6">
        <v>3500</v>
      </c>
      <c r="G850" s="6">
        <v>2500</v>
      </c>
      <c r="H850" s="6">
        <v>514500</v>
      </c>
      <c r="I850" s="5">
        <f t="shared" si="13"/>
        <v>147000</v>
      </c>
    </row>
    <row r="851" spans="1:9" x14ac:dyDescent="0.3">
      <c r="A851" t="s">
        <v>537</v>
      </c>
      <c r="B851" t="s">
        <v>13</v>
      </c>
      <c r="C851" t="s">
        <v>14</v>
      </c>
      <c r="D851" t="s">
        <v>31</v>
      </c>
      <c r="E851">
        <v>90</v>
      </c>
      <c r="F851" s="6">
        <v>1000</v>
      </c>
      <c r="G851" s="6">
        <v>700</v>
      </c>
      <c r="H851" s="6">
        <v>90000</v>
      </c>
      <c r="I851" s="5">
        <f t="shared" si="13"/>
        <v>27000</v>
      </c>
    </row>
    <row r="852" spans="1:9" x14ac:dyDescent="0.3">
      <c r="A852" t="s">
        <v>246</v>
      </c>
      <c r="B852" t="s">
        <v>40</v>
      </c>
      <c r="C852" t="s">
        <v>26</v>
      </c>
      <c r="D852" t="s">
        <v>24</v>
      </c>
      <c r="E852">
        <v>61</v>
      </c>
      <c r="F852" s="6">
        <v>1200</v>
      </c>
      <c r="G852" s="6">
        <v>800</v>
      </c>
      <c r="H852" s="6">
        <v>73200</v>
      </c>
      <c r="I852" s="5">
        <f t="shared" si="13"/>
        <v>24400</v>
      </c>
    </row>
    <row r="853" spans="1:9" x14ac:dyDescent="0.3">
      <c r="A853" t="s">
        <v>538</v>
      </c>
      <c r="B853" t="s">
        <v>40</v>
      </c>
      <c r="C853" t="s">
        <v>17</v>
      </c>
      <c r="D853" t="s">
        <v>21</v>
      </c>
      <c r="E853">
        <v>91</v>
      </c>
      <c r="F853" s="6">
        <v>600</v>
      </c>
      <c r="G853" s="6">
        <v>400</v>
      </c>
      <c r="H853" s="6">
        <v>54600</v>
      </c>
      <c r="I853" s="5">
        <f t="shared" si="13"/>
        <v>18200</v>
      </c>
    </row>
    <row r="854" spans="1:9" x14ac:dyDescent="0.3">
      <c r="A854" t="s">
        <v>539</v>
      </c>
      <c r="B854" t="s">
        <v>9</v>
      </c>
      <c r="C854" t="s">
        <v>26</v>
      </c>
      <c r="D854" t="s">
        <v>21</v>
      </c>
      <c r="E854">
        <v>120</v>
      </c>
      <c r="F854" s="6">
        <v>600</v>
      </c>
      <c r="G854" s="6">
        <v>400</v>
      </c>
      <c r="H854" s="6">
        <v>72000</v>
      </c>
      <c r="I854" s="5">
        <f t="shared" si="13"/>
        <v>24000</v>
      </c>
    </row>
    <row r="855" spans="1:9" x14ac:dyDescent="0.3">
      <c r="A855" t="s">
        <v>190</v>
      </c>
      <c r="B855" t="s">
        <v>36</v>
      </c>
      <c r="C855" t="s">
        <v>14</v>
      </c>
      <c r="D855" t="s">
        <v>18</v>
      </c>
      <c r="E855">
        <v>128</v>
      </c>
      <c r="F855" s="6">
        <v>6000</v>
      </c>
      <c r="G855" s="6">
        <v>4000</v>
      </c>
      <c r="H855" s="6">
        <v>768000</v>
      </c>
      <c r="I855" s="5">
        <f t="shared" si="13"/>
        <v>256000</v>
      </c>
    </row>
    <row r="856" spans="1:9" x14ac:dyDescent="0.3">
      <c r="A856" t="s">
        <v>44</v>
      </c>
      <c r="B856" t="s">
        <v>28</v>
      </c>
      <c r="C856" t="s">
        <v>17</v>
      </c>
      <c r="D856" t="s">
        <v>34</v>
      </c>
      <c r="E856">
        <v>61</v>
      </c>
      <c r="F856" s="6">
        <v>10000</v>
      </c>
      <c r="G856" s="6">
        <v>7000</v>
      </c>
      <c r="H856" s="6">
        <v>610000</v>
      </c>
      <c r="I856" s="5">
        <f t="shared" si="13"/>
        <v>183000</v>
      </c>
    </row>
    <row r="857" spans="1:9" x14ac:dyDescent="0.3">
      <c r="A857" t="s">
        <v>460</v>
      </c>
      <c r="B857" t="s">
        <v>28</v>
      </c>
      <c r="C857" t="s">
        <v>10</v>
      </c>
      <c r="D857" t="s">
        <v>11</v>
      </c>
      <c r="E857">
        <v>82</v>
      </c>
      <c r="F857" s="6">
        <v>3500</v>
      </c>
      <c r="G857" s="6">
        <v>2500</v>
      </c>
      <c r="H857" s="6">
        <v>287000</v>
      </c>
      <c r="I857" s="5">
        <f t="shared" si="13"/>
        <v>82000</v>
      </c>
    </row>
    <row r="858" spans="1:9" x14ac:dyDescent="0.3">
      <c r="A858" t="s">
        <v>507</v>
      </c>
      <c r="B858" t="s">
        <v>28</v>
      </c>
      <c r="C858" t="s">
        <v>17</v>
      </c>
      <c r="D858" t="s">
        <v>34</v>
      </c>
      <c r="E858">
        <v>82</v>
      </c>
      <c r="F858" s="6">
        <v>10000</v>
      </c>
      <c r="G858" s="6">
        <v>7000</v>
      </c>
      <c r="H858" s="6">
        <v>820000</v>
      </c>
      <c r="I858" s="5">
        <f t="shared" si="13"/>
        <v>246000</v>
      </c>
    </row>
    <row r="859" spans="1:9" x14ac:dyDescent="0.3">
      <c r="A859" t="s">
        <v>540</v>
      </c>
      <c r="B859" t="s">
        <v>43</v>
      </c>
      <c r="C859" t="s">
        <v>14</v>
      </c>
      <c r="D859" t="s">
        <v>31</v>
      </c>
      <c r="E859">
        <v>81</v>
      </c>
      <c r="F859" s="6">
        <v>1000</v>
      </c>
      <c r="G859" s="6">
        <v>700</v>
      </c>
      <c r="H859" s="6">
        <v>81000</v>
      </c>
      <c r="I859" s="5">
        <f t="shared" si="13"/>
        <v>24300</v>
      </c>
    </row>
    <row r="860" spans="1:9" x14ac:dyDescent="0.3">
      <c r="A860" t="s">
        <v>363</v>
      </c>
      <c r="B860" t="s">
        <v>30</v>
      </c>
      <c r="C860" t="s">
        <v>14</v>
      </c>
      <c r="D860" t="s">
        <v>18</v>
      </c>
      <c r="E860">
        <v>97</v>
      </c>
      <c r="F860" s="6">
        <v>6000</v>
      </c>
      <c r="G860" s="6">
        <v>4000</v>
      </c>
      <c r="H860" s="6">
        <v>582000</v>
      </c>
      <c r="I860" s="5">
        <f t="shared" si="13"/>
        <v>194000</v>
      </c>
    </row>
    <row r="861" spans="1:9" x14ac:dyDescent="0.3">
      <c r="A861" t="s">
        <v>159</v>
      </c>
      <c r="B861" t="s">
        <v>40</v>
      </c>
      <c r="C861" t="s">
        <v>14</v>
      </c>
      <c r="D861" t="s">
        <v>21</v>
      </c>
      <c r="E861">
        <v>55</v>
      </c>
      <c r="F861" s="6">
        <v>600</v>
      </c>
      <c r="G861" s="6">
        <v>400</v>
      </c>
      <c r="H861" s="6">
        <v>33000</v>
      </c>
      <c r="I861" s="5">
        <f t="shared" si="13"/>
        <v>11000</v>
      </c>
    </row>
    <row r="862" spans="1:9" x14ac:dyDescent="0.3">
      <c r="A862" t="s">
        <v>301</v>
      </c>
      <c r="B862" t="s">
        <v>30</v>
      </c>
      <c r="C862" t="s">
        <v>14</v>
      </c>
      <c r="D862" t="s">
        <v>15</v>
      </c>
      <c r="E862">
        <v>57</v>
      </c>
      <c r="F862" s="6">
        <v>4000</v>
      </c>
      <c r="G862" s="6">
        <v>3000</v>
      </c>
      <c r="H862" s="6">
        <v>228000</v>
      </c>
      <c r="I862" s="5">
        <f t="shared" si="13"/>
        <v>57000</v>
      </c>
    </row>
    <row r="863" spans="1:9" x14ac:dyDescent="0.3">
      <c r="A863" t="s">
        <v>541</v>
      </c>
      <c r="B863" t="s">
        <v>20</v>
      </c>
      <c r="C863" t="s">
        <v>10</v>
      </c>
      <c r="D863" t="s">
        <v>34</v>
      </c>
      <c r="E863">
        <v>146</v>
      </c>
      <c r="F863" s="6">
        <v>10000</v>
      </c>
      <c r="G863" s="6">
        <v>7000</v>
      </c>
      <c r="H863" s="6">
        <v>1460000</v>
      </c>
      <c r="I863" s="5">
        <f t="shared" si="13"/>
        <v>438000</v>
      </c>
    </row>
    <row r="864" spans="1:9" x14ac:dyDescent="0.3">
      <c r="A864" t="s">
        <v>331</v>
      </c>
      <c r="B864" t="s">
        <v>43</v>
      </c>
      <c r="C864" t="s">
        <v>17</v>
      </c>
      <c r="D864" t="s">
        <v>18</v>
      </c>
      <c r="E864">
        <v>124</v>
      </c>
      <c r="F864" s="6">
        <v>6000</v>
      </c>
      <c r="G864" s="6">
        <v>4000</v>
      </c>
      <c r="H864" s="6">
        <v>744000</v>
      </c>
      <c r="I864" s="5">
        <f t="shared" si="13"/>
        <v>248000</v>
      </c>
    </row>
    <row r="865" spans="1:9" x14ac:dyDescent="0.3">
      <c r="A865" t="s">
        <v>394</v>
      </c>
      <c r="B865" t="s">
        <v>9</v>
      </c>
      <c r="C865" t="s">
        <v>14</v>
      </c>
      <c r="D865" t="s">
        <v>18</v>
      </c>
      <c r="E865">
        <v>108</v>
      </c>
      <c r="F865" s="6">
        <v>6000</v>
      </c>
      <c r="G865" s="6">
        <v>4000</v>
      </c>
      <c r="H865" s="6">
        <v>648000</v>
      </c>
      <c r="I865" s="5">
        <f t="shared" si="13"/>
        <v>216000</v>
      </c>
    </row>
    <row r="866" spans="1:9" x14ac:dyDescent="0.3">
      <c r="A866" t="s">
        <v>22</v>
      </c>
      <c r="B866" t="s">
        <v>30</v>
      </c>
      <c r="C866" t="s">
        <v>17</v>
      </c>
      <c r="D866" t="s">
        <v>11</v>
      </c>
      <c r="E866">
        <v>126</v>
      </c>
      <c r="F866" s="6">
        <v>3500</v>
      </c>
      <c r="G866" s="6">
        <v>2500</v>
      </c>
      <c r="H866" s="6">
        <v>441000</v>
      </c>
      <c r="I866" s="5">
        <f t="shared" si="13"/>
        <v>126000</v>
      </c>
    </row>
    <row r="867" spans="1:9" x14ac:dyDescent="0.3">
      <c r="A867" t="s">
        <v>542</v>
      </c>
      <c r="B867" t="s">
        <v>13</v>
      </c>
      <c r="C867" t="s">
        <v>10</v>
      </c>
      <c r="D867" t="s">
        <v>11</v>
      </c>
      <c r="E867">
        <v>59</v>
      </c>
      <c r="F867" s="6">
        <v>3500</v>
      </c>
      <c r="G867" s="6">
        <v>2500</v>
      </c>
      <c r="H867" s="6">
        <v>206500</v>
      </c>
      <c r="I867" s="5">
        <f t="shared" si="13"/>
        <v>59000</v>
      </c>
    </row>
    <row r="868" spans="1:9" x14ac:dyDescent="0.3">
      <c r="A868" t="s">
        <v>192</v>
      </c>
      <c r="B868" t="s">
        <v>40</v>
      </c>
      <c r="C868" t="s">
        <v>26</v>
      </c>
      <c r="D868" t="s">
        <v>31</v>
      </c>
      <c r="E868">
        <v>98</v>
      </c>
      <c r="F868" s="6">
        <v>1000</v>
      </c>
      <c r="G868" s="6">
        <v>700</v>
      </c>
      <c r="H868" s="6">
        <v>98000</v>
      </c>
      <c r="I868" s="5">
        <f t="shared" si="13"/>
        <v>29400</v>
      </c>
    </row>
    <row r="869" spans="1:9" x14ac:dyDescent="0.3">
      <c r="A869" t="s">
        <v>512</v>
      </c>
      <c r="B869" t="s">
        <v>9</v>
      </c>
      <c r="C869" t="s">
        <v>14</v>
      </c>
      <c r="D869" t="s">
        <v>31</v>
      </c>
      <c r="E869">
        <v>120</v>
      </c>
      <c r="F869" s="6">
        <v>1000</v>
      </c>
      <c r="G869" s="6">
        <v>700</v>
      </c>
      <c r="H869" s="6">
        <v>120000</v>
      </c>
      <c r="I869" s="5">
        <f t="shared" si="13"/>
        <v>36000</v>
      </c>
    </row>
    <row r="870" spans="1:9" x14ac:dyDescent="0.3">
      <c r="A870" t="s">
        <v>543</v>
      </c>
      <c r="B870" t="s">
        <v>28</v>
      </c>
      <c r="C870" t="s">
        <v>14</v>
      </c>
      <c r="D870" t="s">
        <v>34</v>
      </c>
      <c r="E870">
        <v>98</v>
      </c>
      <c r="F870" s="6">
        <v>10000</v>
      </c>
      <c r="G870" s="6">
        <v>7000</v>
      </c>
      <c r="H870" s="6">
        <v>980000</v>
      </c>
      <c r="I870" s="5">
        <f t="shared" si="13"/>
        <v>294000</v>
      </c>
    </row>
    <row r="871" spans="1:9" x14ac:dyDescent="0.3">
      <c r="A871" t="s">
        <v>544</v>
      </c>
      <c r="B871" t="s">
        <v>23</v>
      </c>
      <c r="C871" t="s">
        <v>26</v>
      </c>
      <c r="D871" t="s">
        <v>21</v>
      </c>
      <c r="E871">
        <v>117</v>
      </c>
      <c r="F871" s="6">
        <v>600</v>
      </c>
      <c r="G871" s="6">
        <v>400</v>
      </c>
      <c r="H871" s="6">
        <v>70200</v>
      </c>
      <c r="I871" s="5">
        <f t="shared" si="13"/>
        <v>23400</v>
      </c>
    </row>
    <row r="872" spans="1:9" x14ac:dyDescent="0.3">
      <c r="A872" t="s">
        <v>545</v>
      </c>
      <c r="B872" t="s">
        <v>20</v>
      </c>
      <c r="C872" t="s">
        <v>26</v>
      </c>
      <c r="D872" t="s">
        <v>11</v>
      </c>
      <c r="E872">
        <v>118</v>
      </c>
      <c r="F872" s="6">
        <v>3500</v>
      </c>
      <c r="G872" s="6">
        <v>2500</v>
      </c>
      <c r="H872" s="6">
        <v>413000</v>
      </c>
      <c r="I872" s="5">
        <f t="shared" si="13"/>
        <v>118000</v>
      </c>
    </row>
    <row r="873" spans="1:9" x14ac:dyDescent="0.3">
      <c r="A873" t="s">
        <v>546</v>
      </c>
      <c r="B873" t="s">
        <v>58</v>
      </c>
      <c r="C873" t="s">
        <v>10</v>
      </c>
      <c r="D873" t="s">
        <v>18</v>
      </c>
      <c r="E873">
        <v>70</v>
      </c>
      <c r="F873" s="6">
        <v>6000</v>
      </c>
      <c r="G873" s="6">
        <v>4000</v>
      </c>
      <c r="H873" s="6">
        <v>420000</v>
      </c>
      <c r="I873" s="5">
        <f t="shared" si="13"/>
        <v>140000</v>
      </c>
    </row>
    <row r="874" spans="1:9" x14ac:dyDescent="0.3">
      <c r="A874" t="s">
        <v>457</v>
      </c>
      <c r="B874" t="s">
        <v>13</v>
      </c>
      <c r="C874" t="s">
        <v>14</v>
      </c>
      <c r="D874" t="s">
        <v>15</v>
      </c>
      <c r="E874">
        <v>90</v>
      </c>
      <c r="F874" s="6">
        <v>4000</v>
      </c>
      <c r="G874" s="6">
        <v>3000</v>
      </c>
      <c r="H874" s="6">
        <v>360000</v>
      </c>
      <c r="I874" s="5">
        <f t="shared" si="13"/>
        <v>90000</v>
      </c>
    </row>
    <row r="875" spans="1:9" x14ac:dyDescent="0.3">
      <c r="A875" t="s">
        <v>547</v>
      </c>
      <c r="B875" t="s">
        <v>28</v>
      </c>
      <c r="C875" t="s">
        <v>17</v>
      </c>
      <c r="D875" t="s">
        <v>18</v>
      </c>
      <c r="E875">
        <v>125</v>
      </c>
      <c r="F875" s="6">
        <v>6000</v>
      </c>
      <c r="G875" s="6">
        <v>4000</v>
      </c>
      <c r="H875" s="6">
        <v>750000</v>
      </c>
      <c r="I875" s="5">
        <f t="shared" si="13"/>
        <v>250000</v>
      </c>
    </row>
    <row r="876" spans="1:9" x14ac:dyDescent="0.3">
      <c r="A876" t="s">
        <v>310</v>
      </c>
      <c r="B876" t="s">
        <v>58</v>
      </c>
      <c r="C876" t="s">
        <v>10</v>
      </c>
      <c r="D876" t="s">
        <v>21</v>
      </c>
      <c r="E876">
        <v>59</v>
      </c>
      <c r="F876" s="6">
        <v>600</v>
      </c>
      <c r="G876" s="6">
        <v>400</v>
      </c>
      <c r="H876" s="6">
        <v>35400</v>
      </c>
      <c r="I876" s="5">
        <f t="shared" si="13"/>
        <v>11800</v>
      </c>
    </row>
    <row r="877" spans="1:9" x14ac:dyDescent="0.3">
      <c r="A877" t="s">
        <v>63</v>
      </c>
      <c r="B877" t="s">
        <v>20</v>
      </c>
      <c r="C877" t="s">
        <v>10</v>
      </c>
      <c r="D877" t="s">
        <v>24</v>
      </c>
      <c r="E877">
        <v>84</v>
      </c>
      <c r="F877" s="6">
        <v>1200</v>
      </c>
      <c r="G877" s="6">
        <v>800</v>
      </c>
      <c r="H877" s="6">
        <v>100800</v>
      </c>
      <c r="I877" s="5">
        <f t="shared" si="13"/>
        <v>33600</v>
      </c>
    </row>
    <row r="878" spans="1:9" x14ac:dyDescent="0.3">
      <c r="A878" t="s">
        <v>128</v>
      </c>
      <c r="B878" t="s">
        <v>28</v>
      </c>
      <c r="C878" t="s">
        <v>26</v>
      </c>
      <c r="D878" t="s">
        <v>24</v>
      </c>
      <c r="E878">
        <v>50</v>
      </c>
      <c r="F878" s="6">
        <v>1200</v>
      </c>
      <c r="G878" s="6">
        <v>800</v>
      </c>
      <c r="H878" s="6">
        <v>60000</v>
      </c>
      <c r="I878" s="5">
        <f t="shared" si="13"/>
        <v>20000</v>
      </c>
    </row>
    <row r="879" spans="1:9" x14ac:dyDescent="0.3">
      <c r="A879" t="s">
        <v>243</v>
      </c>
      <c r="B879" t="s">
        <v>13</v>
      </c>
      <c r="C879" t="s">
        <v>14</v>
      </c>
      <c r="D879" t="s">
        <v>21</v>
      </c>
      <c r="E879">
        <v>51</v>
      </c>
      <c r="F879" s="6">
        <v>600</v>
      </c>
      <c r="G879" s="6">
        <v>400</v>
      </c>
      <c r="H879" s="6">
        <v>30600</v>
      </c>
      <c r="I879" s="5">
        <f t="shared" si="13"/>
        <v>10200</v>
      </c>
    </row>
    <row r="880" spans="1:9" x14ac:dyDescent="0.3">
      <c r="A880" t="s">
        <v>548</v>
      </c>
      <c r="B880" t="s">
        <v>58</v>
      </c>
      <c r="C880" t="s">
        <v>26</v>
      </c>
      <c r="D880" t="s">
        <v>21</v>
      </c>
      <c r="E880">
        <v>52</v>
      </c>
      <c r="F880" s="6">
        <v>600</v>
      </c>
      <c r="G880" s="6">
        <v>400</v>
      </c>
      <c r="H880" s="6">
        <v>31200</v>
      </c>
      <c r="I880" s="5">
        <f t="shared" si="13"/>
        <v>10400</v>
      </c>
    </row>
    <row r="881" spans="1:9" x14ac:dyDescent="0.3">
      <c r="A881" t="s">
        <v>549</v>
      </c>
      <c r="B881" t="s">
        <v>36</v>
      </c>
      <c r="C881" t="s">
        <v>17</v>
      </c>
      <c r="D881" t="s">
        <v>31</v>
      </c>
      <c r="E881">
        <v>73</v>
      </c>
      <c r="F881" s="6">
        <v>1000</v>
      </c>
      <c r="G881" s="6">
        <v>700</v>
      </c>
      <c r="H881" s="6">
        <v>73000</v>
      </c>
      <c r="I881" s="5">
        <f t="shared" si="13"/>
        <v>21900</v>
      </c>
    </row>
    <row r="882" spans="1:9" x14ac:dyDescent="0.3">
      <c r="A882" t="s">
        <v>157</v>
      </c>
      <c r="B882" t="s">
        <v>20</v>
      </c>
      <c r="C882" t="s">
        <v>14</v>
      </c>
      <c r="D882" t="s">
        <v>34</v>
      </c>
      <c r="E882">
        <v>131</v>
      </c>
      <c r="F882" s="6">
        <v>10000</v>
      </c>
      <c r="G882" s="6">
        <v>7000</v>
      </c>
      <c r="H882" s="6">
        <v>1310000</v>
      </c>
      <c r="I882" s="5">
        <f t="shared" si="13"/>
        <v>393000</v>
      </c>
    </row>
    <row r="883" spans="1:9" x14ac:dyDescent="0.3">
      <c r="A883" t="s">
        <v>271</v>
      </c>
      <c r="B883" t="s">
        <v>28</v>
      </c>
      <c r="C883" t="s">
        <v>26</v>
      </c>
      <c r="D883" t="s">
        <v>11</v>
      </c>
      <c r="E883">
        <v>138</v>
      </c>
      <c r="F883" s="6">
        <v>3500</v>
      </c>
      <c r="G883" s="6">
        <v>2500</v>
      </c>
      <c r="H883" s="6">
        <v>483000</v>
      </c>
      <c r="I883" s="5">
        <f t="shared" si="13"/>
        <v>138000</v>
      </c>
    </row>
    <row r="884" spans="1:9" x14ac:dyDescent="0.3">
      <c r="A884" t="s">
        <v>282</v>
      </c>
      <c r="B884" t="s">
        <v>9</v>
      </c>
      <c r="C884" t="s">
        <v>14</v>
      </c>
      <c r="D884" t="s">
        <v>15</v>
      </c>
      <c r="E884">
        <v>60</v>
      </c>
      <c r="F884" s="6">
        <v>4000</v>
      </c>
      <c r="G884" s="6">
        <v>3000</v>
      </c>
      <c r="H884" s="6">
        <v>240000</v>
      </c>
      <c r="I884" s="5">
        <f t="shared" si="13"/>
        <v>60000</v>
      </c>
    </row>
    <row r="885" spans="1:9" x14ac:dyDescent="0.3">
      <c r="A885" t="s">
        <v>433</v>
      </c>
      <c r="B885" t="s">
        <v>28</v>
      </c>
      <c r="C885" t="s">
        <v>26</v>
      </c>
      <c r="D885" t="s">
        <v>18</v>
      </c>
      <c r="E885">
        <v>100</v>
      </c>
      <c r="F885" s="6">
        <v>6000</v>
      </c>
      <c r="G885" s="6">
        <v>4000</v>
      </c>
      <c r="H885" s="6">
        <v>600000</v>
      </c>
      <c r="I885" s="5">
        <f t="shared" si="13"/>
        <v>200000</v>
      </c>
    </row>
    <row r="886" spans="1:9" x14ac:dyDescent="0.3">
      <c r="A886" t="s">
        <v>176</v>
      </c>
      <c r="B886" t="s">
        <v>28</v>
      </c>
      <c r="C886" t="s">
        <v>26</v>
      </c>
      <c r="D886" t="s">
        <v>34</v>
      </c>
      <c r="E886">
        <v>75</v>
      </c>
      <c r="F886" s="6">
        <v>10000</v>
      </c>
      <c r="G886" s="6">
        <v>7000</v>
      </c>
      <c r="H886" s="6">
        <v>750000</v>
      </c>
      <c r="I886" s="5">
        <f t="shared" si="13"/>
        <v>225000</v>
      </c>
    </row>
    <row r="887" spans="1:9" x14ac:dyDescent="0.3">
      <c r="A887" t="s">
        <v>341</v>
      </c>
      <c r="B887" t="s">
        <v>58</v>
      </c>
      <c r="C887" t="s">
        <v>17</v>
      </c>
      <c r="D887" t="s">
        <v>31</v>
      </c>
      <c r="E887">
        <v>117</v>
      </c>
      <c r="F887" s="6">
        <v>1000</v>
      </c>
      <c r="G887" s="6">
        <v>700</v>
      </c>
      <c r="H887" s="6">
        <v>117000</v>
      </c>
      <c r="I887" s="5">
        <f t="shared" si="13"/>
        <v>35100</v>
      </c>
    </row>
    <row r="888" spans="1:9" x14ac:dyDescent="0.3">
      <c r="A888" t="s">
        <v>63</v>
      </c>
      <c r="B888" t="s">
        <v>36</v>
      </c>
      <c r="C888" t="s">
        <v>14</v>
      </c>
      <c r="D888" t="s">
        <v>11</v>
      </c>
      <c r="E888">
        <v>72</v>
      </c>
      <c r="F888" s="6">
        <v>3500</v>
      </c>
      <c r="G888" s="6">
        <v>2500</v>
      </c>
      <c r="H888" s="6">
        <v>252000</v>
      </c>
      <c r="I888" s="5">
        <f t="shared" si="13"/>
        <v>72000</v>
      </c>
    </row>
    <row r="889" spans="1:9" x14ac:dyDescent="0.3">
      <c r="A889" t="s">
        <v>550</v>
      </c>
      <c r="B889" t="s">
        <v>58</v>
      </c>
      <c r="C889" t="s">
        <v>26</v>
      </c>
      <c r="D889" t="s">
        <v>11</v>
      </c>
      <c r="E889">
        <v>69</v>
      </c>
      <c r="F889" s="6">
        <v>3500</v>
      </c>
      <c r="G889" s="6">
        <v>2500</v>
      </c>
      <c r="H889" s="6">
        <v>241500</v>
      </c>
      <c r="I889" s="5">
        <f t="shared" si="13"/>
        <v>69000</v>
      </c>
    </row>
    <row r="890" spans="1:9" x14ac:dyDescent="0.3">
      <c r="A890" t="s">
        <v>220</v>
      </c>
      <c r="B890" t="s">
        <v>40</v>
      </c>
      <c r="C890" t="s">
        <v>10</v>
      </c>
      <c r="D890" t="s">
        <v>31</v>
      </c>
      <c r="E890">
        <v>110</v>
      </c>
      <c r="F890" s="6">
        <v>1000</v>
      </c>
      <c r="G890" s="6">
        <v>700</v>
      </c>
      <c r="H890" s="6">
        <v>110000</v>
      </c>
      <c r="I890" s="5">
        <f t="shared" si="13"/>
        <v>33000</v>
      </c>
    </row>
    <row r="891" spans="1:9" x14ac:dyDescent="0.3">
      <c r="A891" t="s">
        <v>253</v>
      </c>
      <c r="B891" t="s">
        <v>43</v>
      </c>
      <c r="C891" t="s">
        <v>10</v>
      </c>
      <c r="D891" t="s">
        <v>31</v>
      </c>
      <c r="E891">
        <v>142</v>
      </c>
      <c r="F891" s="6">
        <v>1000</v>
      </c>
      <c r="G891" s="6">
        <v>700</v>
      </c>
      <c r="H891" s="6">
        <v>142000</v>
      </c>
      <c r="I891" s="5">
        <f t="shared" si="13"/>
        <v>42600</v>
      </c>
    </row>
    <row r="892" spans="1:9" x14ac:dyDescent="0.3">
      <c r="A892" t="s">
        <v>324</v>
      </c>
      <c r="B892" t="s">
        <v>43</v>
      </c>
      <c r="C892" t="s">
        <v>17</v>
      </c>
      <c r="D892" t="s">
        <v>15</v>
      </c>
      <c r="E892">
        <v>95</v>
      </c>
      <c r="F892" s="6">
        <v>4000</v>
      </c>
      <c r="G892" s="6">
        <v>3000</v>
      </c>
      <c r="H892" s="6">
        <v>380000</v>
      </c>
      <c r="I892" s="5">
        <f t="shared" si="13"/>
        <v>95000</v>
      </c>
    </row>
    <row r="893" spans="1:9" x14ac:dyDescent="0.3">
      <c r="A893" t="s">
        <v>424</v>
      </c>
      <c r="B893" t="s">
        <v>23</v>
      </c>
      <c r="C893" t="s">
        <v>10</v>
      </c>
      <c r="D893" t="s">
        <v>18</v>
      </c>
      <c r="E893">
        <v>61</v>
      </c>
      <c r="F893" s="6">
        <v>6000</v>
      </c>
      <c r="G893" s="6">
        <v>4000</v>
      </c>
      <c r="H893" s="6">
        <v>366000</v>
      </c>
      <c r="I893" s="5">
        <f t="shared" si="13"/>
        <v>122000</v>
      </c>
    </row>
    <row r="894" spans="1:9" x14ac:dyDescent="0.3">
      <c r="A894" t="s">
        <v>414</v>
      </c>
      <c r="B894" t="s">
        <v>43</v>
      </c>
      <c r="C894" t="s">
        <v>14</v>
      </c>
      <c r="D894" t="s">
        <v>21</v>
      </c>
      <c r="E894">
        <v>118</v>
      </c>
      <c r="F894" s="6">
        <v>600</v>
      </c>
      <c r="G894" s="6">
        <v>400</v>
      </c>
      <c r="H894" s="6">
        <v>70800</v>
      </c>
      <c r="I894" s="5">
        <f t="shared" si="13"/>
        <v>23600</v>
      </c>
    </row>
    <row r="895" spans="1:9" x14ac:dyDescent="0.3">
      <c r="A895" t="s">
        <v>551</v>
      </c>
      <c r="B895" t="s">
        <v>58</v>
      </c>
      <c r="C895" t="s">
        <v>26</v>
      </c>
      <c r="D895" t="s">
        <v>15</v>
      </c>
      <c r="E895">
        <v>88</v>
      </c>
      <c r="F895" s="6">
        <v>4000</v>
      </c>
      <c r="G895" s="6">
        <v>3000</v>
      </c>
      <c r="H895" s="6">
        <v>352000</v>
      </c>
      <c r="I895" s="5">
        <f t="shared" si="13"/>
        <v>88000</v>
      </c>
    </row>
    <row r="896" spans="1:9" x14ac:dyDescent="0.3">
      <c r="A896" t="s">
        <v>105</v>
      </c>
      <c r="B896" t="s">
        <v>40</v>
      </c>
      <c r="C896" t="s">
        <v>14</v>
      </c>
      <c r="D896" t="s">
        <v>21</v>
      </c>
      <c r="E896">
        <v>127</v>
      </c>
      <c r="F896" s="6">
        <v>600</v>
      </c>
      <c r="G896" s="6">
        <v>400</v>
      </c>
      <c r="H896" s="6">
        <v>76200</v>
      </c>
      <c r="I896" s="5">
        <f t="shared" si="13"/>
        <v>25400</v>
      </c>
    </row>
    <row r="897" spans="1:9" x14ac:dyDescent="0.3">
      <c r="A897" t="s">
        <v>552</v>
      </c>
      <c r="B897" t="s">
        <v>9</v>
      </c>
      <c r="C897" t="s">
        <v>10</v>
      </c>
      <c r="D897" t="s">
        <v>24</v>
      </c>
      <c r="E897">
        <v>150</v>
      </c>
      <c r="F897" s="6">
        <v>1200</v>
      </c>
      <c r="G897" s="6">
        <v>800</v>
      </c>
      <c r="H897" s="6">
        <v>180000</v>
      </c>
      <c r="I897" s="5">
        <f t="shared" si="13"/>
        <v>60000</v>
      </c>
    </row>
    <row r="898" spans="1:9" x14ac:dyDescent="0.3">
      <c r="A898" t="s">
        <v>553</v>
      </c>
      <c r="B898" t="s">
        <v>23</v>
      </c>
      <c r="C898" t="s">
        <v>10</v>
      </c>
      <c r="D898" t="s">
        <v>18</v>
      </c>
      <c r="E898">
        <v>70</v>
      </c>
      <c r="F898" s="6">
        <v>6000</v>
      </c>
      <c r="G898" s="6">
        <v>4000</v>
      </c>
      <c r="H898" s="6">
        <v>420000</v>
      </c>
      <c r="I898" s="5">
        <f t="shared" ref="I898:I961" si="14">H898-(G898*E898)</f>
        <v>140000</v>
      </c>
    </row>
    <row r="899" spans="1:9" x14ac:dyDescent="0.3">
      <c r="A899" t="s">
        <v>127</v>
      </c>
      <c r="B899" t="s">
        <v>9</v>
      </c>
      <c r="C899" t="s">
        <v>26</v>
      </c>
      <c r="D899" t="s">
        <v>15</v>
      </c>
      <c r="E899">
        <v>138</v>
      </c>
      <c r="F899" s="6">
        <v>4000</v>
      </c>
      <c r="G899" s="6">
        <v>3000</v>
      </c>
      <c r="H899" s="6">
        <v>552000</v>
      </c>
      <c r="I899" s="5">
        <f t="shared" si="14"/>
        <v>138000</v>
      </c>
    </row>
    <row r="900" spans="1:9" x14ac:dyDescent="0.3">
      <c r="A900" t="s">
        <v>554</v>
      </c>
      <c r="B900" t="s">
        <v>36</v>
      </c>
      <c r="C900" t="s">
        <v>26</v>
      </c>
      <c r="D900" t="s">
        <v>24</v>
      </c>
      <c r="E900">
        <v>62</v>
      </c>
      <c r="F900" s="6">
        <v>1200</v>
      </c>
      <c r="G900" s="6">
        <v>800</v>
      </c>
      <c r="H900" s="6">
        <v>74400</v>
      </c>
      <c r="I900" s="5">
        <f t="shared" si="14"/>
        <v>24800</v>
      </c>
    </row>
    <row r="901" spans="1:9" x14ac:dyDescent="0.3">
      <c r="A901" t="s">
        <v>143</v>
      </c>
      <c r="B901" t="s">
        <v>23</v>
      </c>
      <c r="C901" t="s">
        <v>17</v>
      </c>
      <c r="D901" t="s">
        <v>18</v>
      </c>
      <c r="E901">
        <v>118</v>
      </c>
      <c r="F901" s="6">
        <v>6000</v>
      </c>
      <c r="G901" s="6">
        <v>4000</v>
      </c>
      <c r="H901" s="6">
        <v>708000</v>
      </c>
      <c r="I901" s="5">
        <f t="shared" si="14"/>
        <v>236000</v>
      </c>
    </row>
    <row r="902" spans="1:9" x14ac:dyDescent="0.3">
      <c r="A902" t="s">
        <v>555</v>
      </c>
      <c r="B902" t="s">
        <v>13</v>
      </c>
      <c r="C902" t="s">
        <v>17</v>
      </c>
      <c r="D902" t="s">
        <v>31</v>
      </c>
      <c r="E902">
        <v>144</v>
      </c>
      <c r="F902" s="6">
        <v>1000</v>
      </c>
      <c r="G902" s="6">
        <v>700</v>
      </c>
      <c r="H902" s="6">
        <v>144000</v>
      </c>
      <c r="I902" s="5">
        <f t="shared" si="14"/>
        <v>43200</v>
      </c>
    </row>
    <row r="903" spans="1:9" x14ac:dyDescent="0.3">
      <c r="A903" t="s">
        <v>556</v>
      </c>
      <c r="B903" t="s">
        <v>23</v>
      </c>
      <c r="C903" t="s">
        <v>26</v>
      </c>
      <c r="D903" t="s">
        <v>11</v>
      </c>
      <c r="E903">
        <v>73</v>
      </c>
      <c r="F903" s="6">
        <v>3500</v>
      </c>
      <c r="G903" s="6">
        <v>2500</v>
      </c>
      <c r="H903" s="6">
        <v>255500</v>
      </c>
      <c r="I903" s="5">
        <f t="shared" si="14"/>
        <v>73000</v>
      </c>
    </row>
    <row r="904" spans="1:9" x14ac:dyDescent="0.3">
      <c r="A904" t="s">
        <v>542</v>
      </c>
      <c r="B904" t="s">
        <v>28</v>
      </c>
      <c r="C904" t="s">
        <v>10</v>
      </c>
      <c r="D904" t="s">
        <v>11</v>
      </c>
      <c r="E904">
        <v>93</v>
      </c>
      <c r="F904" s="6">
        <v>3500</v>
      </c>
      <c r="G904" s="6">
        <v>2500</v>
      </c>
      <c r="H904" s="6">
        <v>325500</v>
      </c>
      <c r="I904" s="5">
        <f t="shared" si="14"/>
        <v>93000</v>
      </c>
    </row>
    <row r="905" spans="1:9" x14ac:dyDescent="0.3">
      <c r="A905" t="s">
        <v>414</v>
      </c>
      <c r="B905" t="s">
        <v>40</v>
      </c>
      <c r="C905" t="s">
        <v>26</v>
      </c>
      <c r="D905" t="s">
        <v>11</v>
      </c>
      <c r="E905">
        <v>63</v>
      </c>
      <c r="F905" s="6">
        <v>3500</v>
      </c>
      <c r="G905" s="6">
        <v>2500</v>
      </c>
      <c r="H905" s="6">
        <v>220500</v>
      </c>
      <c r="I905" s="5">
        <f t="shared" si="14"/>
        <v>63000</v>
      </c>
    </row>
    <row r="906" spans="1:9" x14ac:dyDescent="0.3">
      <c r="A906" t="s">
        <v>276</v>
      </c>
      <c r="B906" t="s">
        <v>23</v>
      </c>
      <c r="C906" t="s">
        <v>10</v>
      </c>
      <c r="D906" t="s">
        <v>11</v>
      </c>
      <c r="E906">
        <v>83</v>
      </c>
      <c r="F906" s="6">
        <v>3500</v>
      </c>
      <c r="G906" s="6">
        <v>2500</v>
      </c>
      <c r="H906" s="6">
        <v>290500</v>
      </c>
      <c r="I906" s="5">
        <f t="shared" si="14"/>
        <v>83000</v>
      </c>
    </row>
    <row r="907" spans="1:9" x14ac:dyDescent="0.3">
      <c r="A907" t="s">
        <v>505</v>
      </c>
      <c r="B907" t="s">
        <v>43</v>
      </c>
      <c r="C907" t="s">
        <v>10</v>
      </c>
      <c r="D907" t="s">
        <v>34</v>
      </c>
      <c r="E907">
        <v>62</v>
      </c>
      <c r="F907" s="6">
        <v>10000</v>
      </c>
      <c r="G907" s="6">
        <v>7000</v>
      </c>
      <c r="H907" s="6">
        <v>620000</v>
      </c>
      <c r="I907" s="5">
        <f t="shared" si="14"/>
        <v>186000</v>
      </c>
    </row>
    <row r="908" spans="1:9" x14ac:dyDescent="0.3">
      <c r="A908" t="s">
        <v>557</v>
      </c>
      <c r="B908" t="s">
        <v>23</v>
      </c>
      <c r="C908" t="s">
        <v>10</v>
      </c>
      <c r="D908" t="s">
        <v>15</v>
      </c>
      <c r="E908">
        <v>120</v>
      </c>
      <c r="F908" s="6">
        <v>4000</v>
      </c>
      <c r="G908" s="6">
        <v>3000</v>
      </c>
      <c r="H908" s="6">
        <v>480000</v>
      </c>
      <c r="I908" s="5">
        <f t="shared" si="14"/>
        <v>120000</v>
      </c>
    </row>
    <row r="909" spans="1:9" x14ac:dyDescent="0.3">
      <c r="A909" t="s">
        <v>558</v>
      </c>
      <c r="B909" t="s">
        <v>30</v>
      </c>
      <c r="C909" t="s">
        <v>14</v>
      </c>
      <c r="D909" t="s">
        <v>11</v>
      </c>
      <c r="E909">
        <v>127</v>
      </c>
      <c r="F909" s="6">
        <v>3500</v>
      </c>
      <c r="G909" s="6">
        <v>2500</v>
      </c>
      <c r="H909" s="6">
        <v>444500</v>
      </c>
      <c r="I909" s="5">
        <f t="shared" si="14"/>
        <v>127000</v>
      </c>
    </row>
    <row r="910" spans="1:9" x14ac:dyDescent="0.3">
      <c r="A910" t="s">
        <v>549</v>
      </c>
      <c r="B910" t="s">
        <v>40</v>
      </c>
      <c r="C910" t="s">
        <v>26</v>
      </c>
      <c r="D910" t="s">
        <v>21</v>
      </c>
      <c r="E910">
        <v>116</v>
      </c>
      <c r="F910" s="6">
        <v>600</v>
      </c>
      <c r="G910" s="6">
        <v>400</v>
      </c>
      <c r="H910" s="6">
        <v>69600</v>
      </c>
      <c r="I910" s="5">
        <f t="shared" si="14"/>
        <v>23200</v>
      </c>
    </row>
    <row r="911" spans="1:9" x14ac:dyDescent="0.3">
      <c r="A911" t="s">
        <v>107</v>
      </c>
      <c r="B911" t="s">
        <v>36</v>
      </c>
      <c r="C911" t="s">
        <v>14</v>
      </c>
      <c r="D911" t="s">
        <v>18</v>
      </c>
      <c r="E911">
        <v>55</v>
      </c>
      <c r="F911" s="6">
        <v>6000</v>
      </c>
      <c r="G911" s="6">
        <v>4000</v>
      </c>
      <c r="H911" s="6">
        <v>330000</v>
      </c>
      <c r="I911" s="5">
        <f t="shared" si="14"/>
        <v>110000</v>
      </c>
    </row>
    <row r="912" spans="1:9" x14ac:dyDescent="0.3">
      <c r="A912" t="s">
        <v>559</v>
      </c>
      <c r="B912" t="s">
        <v>40</v>
      </c>
      <c r="C912" t="s">
        <v>17</v>
      </c>
      <c r="D912" t="s">
        <v>31</v>
      </c>
      <c r="E912">
        <v>135</v>
      </c>
      <c r="F912" s="6">
        <v>1000</v>
      </c>
      <c r="G912" s="6">
        <v>700</v>
      </c>
      <c r="H912" s="6">
        <v>135000</v>
      </c>
      <c r="I912" s="5">
        <f t="shared" si="14"/>
        <v>40500</v>
      </c>
    </row>
    <row r="913" spans="1:9" x14ac:dyDescent="0.3">
      <c r="A913" t="s">
        <v>259</v>
      </c>
      <c r="B913" t="s">
        <v>9</v>
      </c>
      <c r="C913" t="s">
        <v>26</v>
      </c>
      <c r="D913" t="s">
        <v>21</v>
      </c>
      <c r="E913">
        <v>114</v>
      </c>
      <c r="F913" s="6">
        <v>600</v>
      </c>
      <c r="G913" s="6">
        <v>400</v>
      </c>
      <c r="H913" s="6">
        <v>68400</v>
      </c>
      <c r="I913" s="5">
        <f t="shared" si="14"/>
        <v>22800</v>
      </c>
    </row>
    <row r="914" spans="1:9" x14ac:dyDescent="0.3">
      <c r="A914" t="s">
        <v>279</v>
      </c>
      <c r="B914" t="s">
        <v>28</v>
      </c>
      <c r="C914" t="s">
        <v>17</v>
      </c>
      <c r="D914" t="s">
        <v>15</v>
      </c>
      <c r="E914">
        <v>122</v>
      </c>
      <c r="F914" s="6">
        <v>4000</v>
      </c>
      <c r="G914" s="6">
        <v>3000</v>
      </c>
      <c r="H914" s="6">
        <v>488000</v>
      </c>
      <c r="I914" s="5">
        <f t="shared" si="14"/>
        <v>122000</v>
      </c>
    </row>
    <row r="915" spans="1:9" x14ac:dyDescent="0.3">
      <c r="A915" t="s">
        <v>504</v>
      </c>
      <c r="B915" t="s">
        <v>13</v>
      </c>
      <c r="C915" t="s">
        <v>17</v>
      </c>
      <c r="D915" t="s">
        <v>34</v>
      </c>
      <c r="E915">
        <v>131</v>
      </c>
      <c r="F915" s="6">
        <v>10000</v>
      </c>
      <c r="G915" s="6">
        <v>7000</v>
      </c>
      <c r="H915" s="6">
        <v>1310000</v>
      </c>
      <c r="I915" s="5">
        <f t="shared" si="14"/>
        <v>393000</v>
      </c>
    </row>
    <row r="916" spans="1:9" x14ac:dyDescent="0.3">
      <c r="A916" t="s">
        <v>422</v>
      </c>
      <c r="B916" t="s">
        <v>40</v>
      </c>
      <c r="C916" t="s">
        <v>17</v>
      </c>
      <c r="D916" t="s">
        <v>15</v>
      </c>
      <c r="E916">
        <v>127</v>
      </c>
      <c r="F916" s="6">
        <v>4000</v>
      </c>
      <c r="G916" s="6">
        <v>3000</v>
      </c>
      <c r="H916" s="6">
        <v>508000</v>
      </c>
      <c r="I916" s="5">
        <f t="shared" si="14"/>
        <v>127000</v>
      </c>
    </row>
    <row r="917" spans="1:9" x14ac:dyDescent="0.3">
      <c r="A917" t="s">
        <v>426</v>
      </c>
      <c r="B917" t="s">
        <v>40</v>
      </c>
      <c r="C917" t="s">
        <v>14</v>
      </c>
      <c r="D917" t="s">
        <v>18</v>
      </c>
      <c r="E917">
        <v>132</v>
      </c>
      <c r="F917" s="6">
        <v>6000</v>
      </c>
      <c r="G917" s="6">
        <v>4000</v>
      </c>
      <c r="H917" s="6">
        <v>792000</v>
      </c>
      <c r="I917" s="5">
        <f t="shared" si="14"/>
        <v>264000</v>
      </c>
    </row>
    <row r="918" spans="1:9" x14ac:dyDescent="0.3">
      <c r="A918" t="s">
        <v>370</v>
      </c>
      <c r="B918" t="s">
        <v>36</v>
      </c>
      <c r="C918" t="s">
        <v>14</v>
      </c>
      <c r="D918" t="s">
        <v>24</v>
      </c>
      <c r="E918">
        <v>100</v>
      </c>
      <c r="F918" s="6">
        <v>1200</v>
      </c>
      <c r="G918" s="6">
        <v>800</v>
      </c>
      <c r="H918" s="6">
        <v>120000</v>
      </c>
      <c r="I918" s="5">
        <f t="shared" si="14"/>
        <v>40000</v>
      </c>
    </row>
    <row r="919" spans="1:9" x14ac:dyDescent="0.3">
      <c r="A919" t="s">
        <v>201</v>
      </c>
      <c r="B919" t="s">
        <v>13</v>
      </c>
      <c r="C919" t="s">
        <v>26</v>
      </c>
      <c r="D919" t="s">
        <v>21</v>
      </c>
      <c r="E919">
        <v>97</v>
      </c>
      <c r="F919" s="6">
        <v>600</v>
      </c>
      <c r="G919" s="6">
        <v>400</v>
      </c>
      <c r="H919" s="6">
        <v>58200</v>
      </c>
      <c r="I919" s="5">
        <f t="shared" si="14"/>
        <v>19400</v>
      </c>
    </row>
    <row r="920" spans="1:9" x14ac:dyDescent="0.3">
      <c r="A920" t="s">
        <v>254</v>
      </c>
      <c r="B920" t="s">
        <v>40</v>
      </c>
      <c r="C920" t="s">
        <v>17</v>
      </c>
      <c r="D920" t="s">
        <v>31</v>
      </c>
      <c r="E920">
        <v>109</v>
      </c>
      <c r="F920" s="6">
        <v>1000</v>
      </c>
      <c r="G920" s="6">
        <v>700</v>
      </c>
      <c r="H920" s="6">
        <v>109000</v>
      </c>
      <c r="I920" s="5">
        <f t="shared" si="14"/>
        <v>32700</v>
      </c>
    </row>
    <row r="921" spans="1:9" x14ac:dyDescent="0.3">
      <c r="A921" t="s">
        <v>560</v>
      </c>
      <c r="B921" t="s">
        <v>23</v>
      </c>
      <c r="C921" t="s">
        <v>17</v>
      </c>
      <c r="D921" t="s">
        <v>21</v>
      </c>
      <c r="E921">
        <v>138</v>
      </c>
      <c r="F921" s="6">
        <v>600</v>
      </c>
      <c r="G921" s="6">
        <v>400</v>
      </c>
      <c r="H921" s="6">
        <v>82800</v>
      </c>
      <c r="I921" s="5">
        <f t="shared" si="14"/>
        <v>27600</v>
      </c>
    </row>
    <row r="922" spans="1:9" x14ac:dyDescent="0.3">
      <c r="A922" t="s">
        <v>369</v>
      </c>
      <c r="B922" t="s">
        <v>13</v>
      </c>
      <c r="C922" t="s">
        <v>14</v>
      </c>
      <c r="D922" t="s">
        <v>31</v>
      </c>
      <c r="E922">
        <v>84</v>
      </c>
      <c r="F922" s="6">
        <v>1000</v>
      </c>
      <c r="G922" s="6">
        <v>700</v>
      </c>
      <c r="H922" s="6">
        <v>84000</v>
      </c>
      <c r="I922" s="5">
        <f t="shared" si="14"/>
        <v>25200</v>
      </c>
    </row>
    <row r="923" spans="1:9" x14ac:dyDescent="0.3">
      <c r="A923" t="s">
        <v>68</v>
      </c>
      <c r="B923" t="s">
        <v>20</v>
      </c>
      <c r="C923" t="s">
        <v>17</v>
      </c>
      <c r="D923" t="s">
        <v>15</v>
      </c>
      <c r="E923">
        <v>58</v>
      </c>
      <c r="F923" s="6">
        <v>4000</v>
      </c>
      <c r="G923" s="6">
        <v>3000</v>
      </c>
      <c r="H923" s="6">
        <v>232000</v>
      </c>
      <c r="I923" s="5">
        <f t="shared" si="14"/>
        <v>58000</v>
      </c>
    </row>
    <row r="924" spans="1:9" x14ac:dyDescent="0.3">
      <c r="A924" t="s">
        <v>281</v>
      </c>
      <c r="B924" t="s">
        <v>13</v>
      </c>
      <c r="C924" t="s">
        <v>17</v>
      </c>
      <c r="D924" t="s">
        <v>11</v>
      </c>
      <c r="E924">
        <v>52</v>
      </c>
      <c r="F924" s="6">
        <v>3500</v>
      </c>
      <c r="G924" s="6">
        <v>2500</v>
      </c>
      <c r="H924" s="6">
        <v>182000</v>
      </c>
      <c r="I924" s="5">
        <f t="shared" si="14"/>
        <v>52000</v>
      </c>
    </row>
    <row r="925" spans="1:9" x14ac:dyDescent="0.3">
      <c r="A925" t="s">
        <v>561</v>
      </c>
      <c r="B925" t="s">
        <v>23</v>
      </c>
      <c r="C925" t="s">
        <v>17</v>
      </c>
      <c r="D925" t="s">
        <v>11</v>
      </c>
      <c r="E925">
        <v>57</v>
      </c>
      <c r="F925" s="6">
        <v>3500</v>
      </c>
      <c r="G925" s="6">
        <v>2500</v>
      </c>
      <c r="H925" s="6">
        <v>199500</v>
      </c>
      <c r="I925" s="5">
        <f t="shared" si="14"/>
        <v>57000</v>
      </c>
    </row>
    <row r="926" spans="1:9" x14ac:dyDescent="0.3">
      <c r="A926" t="s">
        <v>225</v>
      </c>
      <c r="B926" t="s">
        <v>36</v>
      </c>
      <c r="C926" t="s">
        <v>14</v>
      </c>
      <c r="D926" t="s">
        <v>34</v>
      </c>
      <c r="E926">
        <v>102</v>
      </c>
      <c r="F926" s="6">
        <v>10000</v>
      </c>
      <c r="G926" s="6">
        <v>7000</v>
      </c>
      <c r="H926" s="6">
        <v>1020000</v>
      </c>
      <c r="I926" s="5">
        <f t="shared" si="14"/>
        <v>306000</v>
      </c>
    </row>
    <row r="927" spans="1:9" x14ac:dyDescent="0.3">
      <c r="A927" t="s">
        <v>562</v>
      </c>
      <c r="B927" t="s">
        <v>40</v>
      </c>
      <c r="C927" t="s">
        <v>10</v>
      </c>
      <c r="D927" t="s">
        <v>18</v>
      </c>
      <c r="E927">
        <v>139</v>
      </c>
      <c r="F927" s="6">
        <v>6000</v>
      </c>
      <c r="G927" s="6">
        <v>4000</v>
      </c>
      <c r="H927" s="6">
        <v>834000</v>
      </c>
      <c r="I927" s="5">
        <f t="shared" si="14"/>
        <v>278000</v>
      </c>
    </row>
    <row r="928" spans="1:9" x14ac:dyDescent="0.3">
      <c r="A928" t="s">
        <v>563</v>
      </c>
      <c r="B928" t="s">
        <v>13</v>
      </c>
      <c r="C928" t="s">
        <v>14</v>
      </c>
      <c r="D928" t="s">
        <v>11</v>
      </c>
      <c r="E928">
        <v>120</v>
      </c>
      <c r="F928" s="6">
        <v>3500</v>
      </c>
      <c r="G928" s="6">
        <v>2500</v>
      </c>
      <c r="H928" s="6">
        <v>420000</v>
      </c>
      <c r="I928" s="5">
        <f t="shared" si="14"/>
        <v>120000</v>
      </c>
    </row>
    <row r="929" spans="1:9" x14ac:dyDescent="0.3">
      <c r="A929" t="s">
        <v>103</v>
      </c>
      <c r="B929" t="s">
        <v>13</v>
      </c>
      <c r="C929" t="s">
        <v>10</v>
      </c>
      <c r="D929" t="s">
        <v>21</v>
      </c>
      <c r="E929">
        <v>132</v>
      </c>
      <c r="F929" s="6">
        <v>600</v>
      </c>
      <c r="G929" s="6">
        <v>400</v>
      </c>
      <c r="H929" s="6">
        <v>79200</v>
      </c>
      <c r="I929" s="5">
        <f t="shared" si="14"/>
        <v>26400</v>
      </c>
    </row>
    <row r="930" spans="1:9" x14ac:dyDescent="0.3">
      <c r="A930" t="s">
        <v>384</v>
      </c>
      <c r="B930" t="s">
        <v>43</v>
      </c>
      <c r="C930" t="s">
        <v>26</v>
      </c>
      <c r="D930" t="s">
        <v>18</v>
      </c>
      <c r="E930">
        <v>56</v>
      </c>
      <c r="F930" s="6">
        <v>6000</v>
      </c>
      <c r="G930" s="6">
        <v>4000</v>
      </c>
      <c r="H930" s="6">
        <v>336000</v>
      </c>
      <c r="I930" s="5">
        <f t="shared" si="14"/>
        <v>112000</v>
      </c>
    </row>
    <row r="931" spans="1:9" x14ac:dyDescent="0.3">
      <c r="A931" t="s">
        <v>115</v>
      </c>
      <c r="B931" t="s">
        <v>23</v>
      </c>
      <c r="C931" t="s">
        <v>14</v>
      </c>
      <c r="D931" t="s">
        <v>34</v>
      </c>
      <c r="E931">
        <v>56</v>
      </c>
      <c r="F931" s="6">
        <v>10000</v>
      </c>
      <c r="G931" s="6">
        <v>7000</v>
      </c>
      <c r="H931" s="6">
        <v>560000</v>
      </c>
      <c r="I931" s="5">
        <f t="shared" si="14"/>
        <v>168000</v>
      </c>
    </row>
    <row r="932" spans="1:9" x14ac:dyDescent="0.3">
      <c r="A932" t="s">
        <v>172</v>
      </c>
      <c r="B932" t="s">
        <v>43</v>
      </c>
      <c r="C932" t="s">
        <v>14</v>
      </c>
      <c r="D932" t="s">
        <v>15</v>
      </c>
      <c r="E932">
        <v>80</v>
      </c>
      <c r="F932" s="6">
        <v>4000</v>
      </c>
      <c r="G932" s="6">
        <v>3000</v>
      </c>
      <c r="H932" s="6">
        <v>320000</v>
      </c>
      <c r="I932" s="5">
        <f t="shared" si="14"/>
        <v>80000</v>
      </c>
    </row>
    <row r="933" spans="1:9" x14ac:dyDescent="0.3">
      <c r="A933" t="s">
        <v>564</v>
      </c>
      <c r="B933" t="s">
        <v>13</v>
      </c>
      <c r="C933" t="s">
        <v>26</v>
      </c>
      <c r="D933" t="s">
        <v>15</v>
      </c>
      <c r="E933">
        <v>119</v>
      </c>
      <c r="F933" s="6">
        <v>4000</v>
      </c>
      <c r="G933" s="6">
        <v>3000</v>
      </c>
      <c r="H933" s="6">
        <v>476000</v>
      </c>
      <c r="I933" s="5">
        <f t="shared" si="14"/>
        <v>119000</v>
      </c>
    </row>
    <row r="934" spans="1:9" x14ac:dyDescent="0.3">
      <c r="A934" t="s">
        <v>274</v>
      </c>
      <c r="B934" t="s">
        <v>40</v>
      </c>
      <c r="C934" t="s">
        <v>17</v>
      </c>
      <c r="D934" t="s">
        <v>31</v>
      </c>
      <c r="E934">
        <v>87</v>
      </c>
      <c r="F934" s="6">
        <v>1000</v>
      </c>
      <c r="G934" s="6">
        <v>700</v>
      </c>
      <c r="H934" s="6">
        <v>87000</v>
      </c>
      <c r="I934" s="5">
        <f t="shared" si="14"/>
        <v>26100</v>
      </c>
    </row>
    <row r="935" spans="1:9" x14ac:dyDescent="0.3">
      <c r="A935" t="s">
        <v>565</v>
      </c>
      <c r="B935" t="s">
        <v>28</v>
      </c>
      <c r="C935" t="s">
        <v>10</v>
      </c>
      <c r="D935" t="s">
        <v>15</v>
      </c>
      <c r="E935">
        <v>71</v>
      </c>
      <c r="F935" s="6">
        <v>4000</v>
      </c>
      <c r="G935" s="6">
        <v>3000</v>
      </c>
      <c r="H935" s="6">
        <v>284000</v>
      </c>
      <c r="I935" s="5">
        <f t="shared" si="14"/>
        <v>71000</v>
      </c>
    </row>
    <row r="936" spans="1:9" x14ac:dyDescent="0.3">
      <c r="A936" t="s">
        <v>566</v>
      </c>
      <c r="B936" t="s">
        <v>40</v>
      </c>
      <c r="C936" t="s">
        <v>14</v>
      </c>
      <c r="D936" t="s">
        <v>21</v>
      </c>
      <c r="E936">
        <v>120</v>
      </c>
      <c r="F936" s="6">
        <v>600</v>
      </c>
      <c r="G936" s="6">
        <v>400</v>
      </c>
      <c r="H936" s="6">
        <v>72000</v>
      </c>
      <c r="I936" s="5">
        <f t="shared" si="14"/>
        <v>24000</v>
      </c>
    </row>
    <row r="937" spans="1:9" x14ac:dyDescent="0.3">
      <c r="A937" t="s">
        <v>513</v>
      </c>
      <c r="B937" t="s">
        <v>13</v>
      </c>
      <c r="C937" t="s">
        <v>26</v>
      </c>
      <c r="D937" t="s">
        <v>31</v>
      </c>
      <c r="E937">
        <v>112</v>
      </c>
      <c r="F937" s="6">
        <v>1000</v>
      </c>
      <c r="G937" s="6">
        <v>700</v>
      </c>
      <c r="H937" s="6">
        <v>112000</v>
      </c>
      <c r="I937" s="5">
        <f t="shared" si="14"/>
        <v>33600</v>
      </c>
    </row>
    <row r="938" spans="1:9" x14ac:dyDescent="0.3">
      <c r="A938" t="s">
        <v>224</v>
      </c>
      <c r="B938" t="s">
        <v>13</v>
      </c>
      <c r="C938" t="s">
        <v>17</v>
      </c>
      <c r="D938" t="s">
        <v>24</v>
      </c>
      <c r="E938">
        <v>145</v>
      </c>
      <c r="F938" s="6">
        <v>1200</v>
      </c>
      <c r="G938" s="6">
        <v>800</v>
      </c>
      <c r="H938" s="6">
        <v>174000</v>
      </c>
      <c r="I938" s="5">
        <f t="shared" si="14"/>
        <v>58000</v>
      </c>
    </row>
    <row r="939" spans="1:9" x14ac:dyDescent="0.3">
      <c r="A939" t="s">
        <v>464</v>
      </c>
      <c r="B939" t="s">
        <v>13</v>
      </c>
      <c r="C939" t="s">
        <v>17</v>
      </c>
      <c r="D939" t="s">
        <v>31</v>
      </c>
      <c r="E939">
        <v>93</v>
      </c>
      <c r="F939" s="6">
        <v>1000</v>
      </c>
      <c r="G939" s="6">
        <v>700</v>
      </c>
      <c r="H939" s="6">
        <v>93000</v>
      </c>
      <c r="I939" s="5">
        <f t="shared" si="14"/>
        <v>27900</v>
      </c>
    </row>
    <row r="940" spans="1:9" x14ac:dyDescent="0.3">
      <c r="A940" t="s">
        <v>265</v>
      </c>
      <c r="B940" t="s">
        <v>58</v>
      </c>
      <c r="C940" t="s">
        <v>14</v>
      </c>
      <c r="D940" t="s">
        <v>15</v>
      </c>
      <c r="E940">
        <v>58</v>
      </c>
      <c r="F940" s="6">
        <v>4000</v>
      </c>
      <c r="G940" s="6">
        <v>3000</v>
      </c>
      <c r="H940" s="6">
        <v>232000</v>
      </c>
      <c r="I940" s="5">
        <f t="shared" si="14"/>
        <v>58000</v>
      </c>
    </row>
    <row r="941" spans="1:9" x14ac:dyDescent="0.3">
      <c r="A941" t="s">
        <v>341</v>
      </c>
      <c r="B941" t="s">
        <v>20</v>
      </c>
      <c r="C941" t="s">
        <v>17</v>
      </c>
      <c r="D941" t="s">
        <v>18</v>
      </c>
      <c r="E941">
        <v>58</v>
      </c>
      <c r="F941" s="6">
        <v>6000</v>
      </c>
      <c r="G941" s="6">
        <v>4000</v>
      </c>
      <c r="H941" s="6">
        <v>348000</v>
      </c>
      <c r="I941" s="5">
        <f t="shared" si="14"/>
        <v>116000</v>
      </c>
    </row>
    <row r="942" spans="1:9" x14ac:dyDescent="0.3">
      <c r="A942" t="s">
        <v>489</v>
      </c>
      <c r="B942" t="s">
        <v>43</v>
      </c>
      <c r="C942" t="s">
        <v>10</v>
      </c>
      <c r="D942" t="s">
        <v>31</v>
      </c>
      <c r="E942">
        <v>136</v>
      </c>
      <c r="F942" s="6">
        <v>1000</v>
      </c>
      <c r="G942" s="6">
        <v>700</v>
      </c>
      <c r="H942" s="6">
        <v>136000</v>
      </c>
      <c r="I942" s="5">
        <f t="shared" si="14"/>
        <v>40800</v>
      </c>
    </row>
    <row r="943" spans="1:9" x14ac:dyDescent="0.3">
      <c r="A943" t="s">
        <v>567</v>
      </c>
      <c r="B943" t="s">
        <v>20</v>
      </c>
      <c r="C943" t="s">
        <v>26</v>
      </c>
      <c r="D943" t="s">
        <v>24</v>
      </c>
      <c r="E943">
        <v>70</v>
      </c>
      <c r="F943" s="6">
        <v>1200</v>
      </c>
      <c r="G943" s="6">
        <v>800</v>
      </c>
      <c r="H943" s="6">
        <v>84000</v>
      </c>
      <c r="I943" s="5">
        <f t="shared" si="14"/>
        <v>28000</v>
      </c>
    </row>
    <row r="944" spans="1:9" x14ac:dyDescent="0.3">
      <c r="A944" t="s">
        <v>276</v>
      </c>
      <c r="B944" t="s">
        <v>13</v>
      </c>
      <c r="C944" t="s">
        <v>10</v>
      </c>
      <c r="D944" t="s">
        <v>21</v>
      </c>
      <c r="E944">
        <v>118</v>
      </c>
      <c r="F944" s="6">
        <v>600</v>
      </c>
      <c r="G944" s="6">
        <v>400</v>
      </c>
      <c r="H944" s="6">
        <v>70800</v>
      </c>
      <c r="I944" s="5">
        <f t="shared" si="14"/>
        <v>23600</v>
      </c>
    </row>
    <row r="945" spans="1:9" x14ac:dyDescent="0.3">
      <c r="A945" t="s">
        <v>326</v>
      </c>
      <c r="B945" t="s">
        <v>23</v>
      </c>
      <c r="C945" t="s">
        <v>17</v>
      </c>
      <c r="D945" t="s">
        <v>21</v>
      </c>
      <c r="E945">
        <v>90</v>
      </c>
      <c r="F945" s="6">
        <v>600</v>
      </c>
      <c r="G945" s="6">
        <v>400</v>
      </c>
      <c r="H945" s="6">
        <v>54000</v>
      </c>
      <c r="I945" s="5">
        <f t="shared" si="14"/>
        <v>18000</v>
      </c>
    </row>
    <row r="946" spans="1:9" x14ac:dyDescent="0.3">
      <c r="A946" t="s">
        <v>141</v>
      </c>
      <c r="B946" t="s">
        <v>36</v>
      </c>
      <c r="C946" t="s">
        <v>26</v>
      </c>
      <c r="D946" t="s">
        <v>24</v>
      </c>
      <c r="E946">
        <v>132</v>
      </c>
      <c r="F946" s="6">
        <v>1200</v>
      </c>
      <c r="G946" s="6">
        <v>800</v>
      </c>
      <c r="H946" s="6">
        <v>158400</v>
      </c>
      <c r="I946" s="5">
        <f t="shared" si="14"/>
        <v>52800</v>
      </c>
    </row>
    <row r="947" spans="1:9" x14ac:dyDescent="0.3">
      <c r="A947" t="s">
        <v>568</v>
      </c>
      <c r="B947" t="s">
        <v>36</v>
      </c>
      <c r="C947" t="s">
        <v>14</v>
      </c>
      <c r="D947" t="s">
        <v>24</v>
      </c>
      <c r="E947">
        <v>147</v>
      </c>
      <c r="F947" s="6">
        <v>1200</v>
      </c>
      <c r="G947" s="6">
        <v>800</v>
      </c>
      <c r="H947" s="6">
        <v>176400</v>
      </c>
      <c r="I947" s="5">
        <f t="shared" si="14"/>
        <v>58800</v>
      </c>
    </row>
    <row r="948" spans="1:9" x14ac:dyDescent="0.3">
      <c r="A948" t="s">
        <v>439</v>
      </c>
      <c r="B948" t="s">
        <v>9</v>
      </c>
      <c r="C948" t="s">
        <v>26</v>
      </c>
      <c r="D948" t="s">
        <v>21</v>
      </c>
      <c r="E948">
        <v>121</v>
      </c>
      <c r="F948" s="6">
        <v>600</v>
      </c>
      <c r="G948" s="6">
        <v>400</v>
      </c>
      <c r="H948" s="6">
        <v>72600</v>
      </c>
      <c r="I948" s="5">
        <f t="shared" si="14"/>
        <v>24200</v>
      </c>
    </row>
    <row r="949" spans="1:9" x14ac:dyDescent="0.3">
      <c r="A949" t="s">
        <v>329</v>
      </c>
      <c r="B949" t="s">
        <v>43</v>
      </c>
      <c r="C949" t="s">
        <v>17</v>
      </c>
      <c r="D949" t="s">
        <v>31</v>
      </c>
      <c r="E949">
        <v>80</v>
      </c>
      <c r="F949" s="6">
        <v>1000</v>
      </c>
      <c r="G949" s="6">
        <v>700</v>
      </c>
      <c r="H949" s="6">
        <v>80000</v>
      </c>
      <c r="I949" s="5">
        <f t="shared" si="14"/>
        <v>24000</v>
      </c>
    </row>
    <row r="950" spans="1:9" x14ac:dyDescent="0.3">
      <c r="A950" t="s">
        <v>278</v>
      </c>
      <c r="B950" t="s">
        <v>58</v>
      </c>
      <c r="C950" t="s">
        <v>10</v>
      </c>
      <c r="D950" t="s">
        <v>11</v>
      </c>
      <c r="E950">
        <v>139</v>
      </c>
      <c r="F950" s="6">
        <v>3500</v>
      </c>
      <c r="G950" s="6">
        <v>2500</v>
      </c>
      <c r="H950" s="6">
        <v>486500</v>
      </c>
      <c r="I950" s="5">
        <f t="shared" si="14"/>
        <v>139000</v>
      </c>
    </row>
    <row r="951" spans="1:9" x14ac:dyDescent="0.3">
      <c r="A951" t="s">
        <v>108</v>
      </c>
      <c r="B951" t="s">
        <v>13</v>
      </c>
      <c r="C951" t="s">
        <v>26</v>
      </c>
      <c r="D951" t="s">
        <v>21</v>
      </c>
      <c r="E951">
        <v>102</v>
      </c>
      <c r="F951" s="6">
        <v>600</v>
      </c>
      <c r="G951" s="6">
        <v>400</v>
      </c>
      <c r="H951" s="6">
        <v>61200</v>
      </c>
      <c r="I951" s="5">
        <f t="shared" si="14"/>
        <v>20400</v>
      </c>
    </row>
    <row r="952" spans="1:9" x14ac:dyDescent="0.3">
      <c r="A952" t="s">
        <v>201</v>
      </c>
      <c r="B952" t="s">
        <v>9</v>
      </c>
      <c r="C952" t="s">
        <v>10</v>
      </c>
      <c r="D952" t="s">
        <v>34</v>
      </c>
      <c r="E952">
        <v>52</v>
      </c>
      <c r="F952" s="6">
        <v>10000</v>
      </c>
      <c r="G952" s="6">
        <v>7000</v>
      </c>
      <c r="H952" s="6">
        <v>520000</v>
      </c>
      <c r="I952" s="5">
        <f t="shared" si="14"/>
        <v>156000</v>
      </c>
    </row>
    <row r="953" spans="1:9" x14ac:dyDescent="0.3">
      <c r="A953" t="s">
        <v>569</v>
      </c>
      <c r="B953" t="s">
        <v>13</v>
      </c>
      <c r="C953" t="s">
        <v>26</v>
      </c>
      <c r="D953" t="s">
        <v>21</v>
      </c>
      <c r="E953">
        <v>64</v>
      </c>
      <c r="F953" s="6">
        <v>600</v>
      </c>
      <c r="G953" s="6">
        <v>400</v>
      </c>
      <c r="H953" s="6">
        <v>38400</v>
      </c>
      <c r="I953" s="5">
        <f t="shared" si="14"/>
        <v>12800</v>
      </c>
    </row>
    <row r="954" spans="1:9" x14ac:dyDescent="0.3">
      <c r="A954" t="s">
        <v>513</v>
      </c>
      <c r="B954" t="s">
        <v>40</v>
      </c>
      <c r="C954" t="s">
        <v>10</v>
      </c>
      <c r="D954" t="s">
        <v>18</v>
      </c>
      <c r="E954">
        <v>61</v>
      </c>
      <c r="F954" s="6">
        <v>6000</v>
      </c>
      <c r="G954" s="6">
        <v>4000</v>
      </c>
      <c r="H954" s="6">
        <v>366000</v>
      </c>
      <c r="I954" s="5">
        <f t="shared" si="14"/>
        <v>122000</v>
      </c>
    </row>
    <row r="955" spans="1:9" x14ac:dyDescent="0.3">
      <c r="A955" t="s">
        <v>570</v>
      </c>
      <c r="B955" t="s">
        <v>40</v>
      </c>
      <c r="C955" t="s">
        <v>10</v>
      </c>
      <c r="D955" t="s">
        <v>34</v>
      </c>
      <c r="E955">
        <v>113</v>
      </c>
      <c r="F955" s="6">
        <v>10000</v>
      </c>
      <c r="G955" s="6">
        <v>7000</v>
      </c>
      <c r="H955" s="6">
        <v>1130000</v>
      </c>
      <c r="I955" s="5">
        <f t="shared" si="14"/>
        <v>339000</v>
      </c>
    </row>
    <row r="956" spans="1:9" x14ac:dyDescent="0.3">
      <c r="A956" t="s">
        <v>97</v>
      </c>
      <c r="B956" t="s">
        <v>43</v>
      </c>
      <c r="C956" t="s">
        <v>17</v>
      </c>
      <c r="D956" t="s">
        <v>34</v>
      </c>
      <c r="E956">
        <v>83</v>
      </c>
      <c r="F956" s="6">
        <v>10000</v>
      </c>
      <c r="G956" s="6">
        <v>7000</v>
      </c>
      <c r="H956" s="6">
        <v>830000</v>
      </c>
      <c r="I956" s="5">
        <f t="shared" si="14"/>
        <v>249000</v>
      </c>
    </row>
    <row r="957" spans="1:9" x14ac:dyDescent="0.3">
      <c r="A957" t="s">
        <v>248</v>
      </c>
      <c r="B957" t="s">
        <v>28</v>
      </c>
      <c r="C957" t="s">
        <v>26</v>
      </c>
      <c r="D957" t="s">
        <v>21</v>
      </c>
      <c r="E957">
        <v>96</v>
      </c>
      <c r="F957" s="6">
        <v>600</v>
      </c>
      <c r="G957" s="6">
        <v>400</v>
      </c>
      <c r="H957" s="6">
        <v>57600</v>
      </c>
      <c r="I957" s="5">
        <f t="shared" si="14"/>
        <v>19200</v>
      </c>
    </row>
    <row r="958" spans="1:9" x14ac:dyDescent="0.3">
      <c r="A958" t="s">
        <v>410</v>
      </c>
      <c r="B958" t="s">
        <v>30</v>
      </c>
      <c r="C958" t="s">
        <v>26</v>
      </c>
      <c r="D958" t="s">
        <v>31</v>
      </c>
      <c r="E958">
        <v>132</v>
      </c>
      <c r="F958" s="6">
        <v>1000</v>
      </c>
      <c r="G958" s="6">
        <v>700</v>
      </c>
      <c r="H958" s="6">
        <v>132000</v>
      </c>
      <c r="I958" s="5">
        <f t="shared" si="14"/>
        <v>39600</v>
      </c>
    </row>
    <row r="959" spans="1:9" x14ac:dyDescent="0.3">
      <c r="A959" t="s">
        <v>240</v>
      </c>
      <c r="B959" t="s">
        <v>40</v>
      </c>
      <c r="C959" t="s">
        <v>26</v>
      </c>
      <c r="D959" t="s">
        <v>15</v>
      </c>
      <c r="E959">
        <v>95</v>
      </c>
      <c r="F959" s="6">
        <v>4000</v>
      </c>
      <c r="G959" s="6">
        <v>3000</v>
      </c>
      <c r="H959" s="6">
        <v>380000</v>
      </c>
      <c r="I959" s="5">
        <f t="shared" si="14"/>
        <v>95000</v>
      </c>
    </row>
    <row r="960" spans="1:9" x14ac:dyDescent="0.3">
      <c r="A960" t="s">
        <v>352</v>
      </c>
      <c r="B960" t="s">
        <v>9</v>
      </c>
      <c r="C960" t="s">
        <v>17</v>
      </c>
      <c r="D960" t="s">
        <v>34</v>
      </c>
      <c r="E960">
        <v>58</v>
      </c>
      <c r="F960" s="6">
        <v>10000</v>
      </c>
      <c r="G960" s="6">
        <v>7000</v>
      </c>
      <c r="H960" s="6">
        <v>580000</v>
      </c>
      <c r="I960" s="5">
        <f t="shared" si="14"/>
        <v>174000</v>
      </c>
    </row>
    <row r="961" spans="1:9" x14ac:dyDescent="0.3">
      <c r="A961" t="s">
        <v>71</v>
      </c>
      <c r="B961" t="s">
        <v>23</v>
      </c>
      <c r="C961" t="s">
        <v>26</v>
      </c>
      <c r="D961" t="s">
        <v>31</v>
      </c>
      <c r="E961">
        <v>141</v>
      </c>
      <c r="F961" s="6">
        <v>1000</v>
      </c>
      <c r="G961" s="6">
        <v>700</v>
      </c>
      <c r="H961" s="6">
        <v>141000</v>
      </c>
      <c r="I961" s="5">
        <f t="shared" si="14"/>
        <v>42300</v>
      </c>
    </row>
    <row r="962" spans="1:9" x14ac:dyDescent="0.3">
      <c r="A962" t="s">
        <v>571</v>
      </c>
      <c r="B962" t="s">
        <v>9</v>
      </c>
      <c r="C962" t="s">
        <v>10</v>
      </c>
      <c r="D962" t="s">
        <v>34</v>
      </c>
      <c r="E962">
        <v>70</v>
      </c>
      <c r="F962" s="6">
        <v>10000</v>
      </c>
      <c r="G962" s="6">
        <v>7000</v>
      </c>
      <c r="H962" s="6">
        <v>700000</v>
      </c>
      <c r="I962" s="5">
        <f t="shared" ref="I962:I1025" si="15">H962-(G962*E962)</f>
        <v>210000</v>
      </c>
    </row>
    <row r="963" spans="1:9" x14ac:dyDescent="0.3">
      <c r="A963" t="s">
        <v>508</v>
      </c>
      <c r="B963" t="s">
        <v>36</v>
      </c>
      <c r="C963" t="s">
        <v>14</v>
      </c>
      <c r="D963" t="s">
        <v>21</v>
      </c>
      <c r="E963">
        <v>121</v>
      </c>
      <c r="F963" s="6">
        <v>600</v>
      </c>
      <c r="G963" s="6">
        <v>400</v>
      </c>
      <c r="H963" s="6">
        <v>72600</v>
      </c>
      <c r="I963" s="5">
        <f t="shared" si="15"/>
        <v>24200</v>
      </c>
    </row>
    <row r="964" spans="1:9" x14ac:dyDescent="0.3">
      <c r="A964" t="s">
        <v>220</v>
      </c>
      <c r="B964" t="s">
        <v>58</v>
      </c>
      <c r="C964" t="s">
        <v>17</v>
      </c>
      <c r="D964" t="s">
        <v>24</v>
      </c>
      <c r="E964">
        <v>60</v>
      </c>
      <c r="F964" s="6">
        <v>1200</v>
      </c>
      <c r="G964" s="6">
        <v>800</v>
      </c>
      <c r="H964" s="6">
        <v>72000</v>
      </c>
      <c r="I964" s="5">
        <f t="shared" si="15"/>
        <v>24000</v>
      </c>
    </row>
    <row r="965" spans="1:9" x14ac:dyDescent="0.3">
      <c r="A965" t="s">
        <v>481</v>
      </c>
      <c r="B965" t="s">
        <v>36</v>
      </c>
      <c r="C965" t="s">
        <v>14</v>
      </c>
      <c r="D965" t="s">
        <v>31</v>
      </c>
      <c r="E965">
        <v>124</v>
      </c>
      <c r="F965" s="6">
        <v>1000</v>
      </c>
      <c r="G965" s="6">
        <v>700</v>
      </c>
      <c r="H965" s="6">
        <v>124000</v>
      </c>
      <c r="I965" s="5">
        <f t="shared" si="15"/>
        <v>37200</v>
      </c>
    </row>
    <row r="966" spans="1:9" x14ac:dyDescent="0.3">
      <c r="A966" t="s">
        <v>246</v>
      </c>
      <c r="B966" t="s">
        <v>36</v>
      </c>
      <c r="C966" t="s">
        <v>14</v>
      </c>
      <c r="D966" t="s">
        <v>31</v>
      </c>
      <c r="E966">
        <v>53</v>
      </c>
      <c r="F966" s="6">
        <v>1000</v>
      </c>
      <c r="G966" s="6">
        <v>700</v>
      </c>
      <c r="H966" s="6">
        <v>53000</v>
      </c>
      <c r="I966" s="5">
        <f t="shared" si="15"/>
        <v>15900</v>
      </c>
    </row>
    <row r="967" spans="1:9" x14ac:dyDescent="0.3">
      <c r="A967" t="s">
        <v>307</v>
      </c>
      <c r="B967" t="s">
        <v>30</v>
      </c>
      <c r="C967" t="s">
        <v>10</v>
      </c>
      <c r="D967" t="s">
        <v>34</v>
      </c>
      <c r="E967">
        <v>125</v>
      </c>
      <c r="F967" s="6">
        <v>10000</v>
      </c>
      <c r="G967" s="6">
        <v>7000</v>
      </c>
      <c r="H967" s="6">
        <v>1250000</v>
      </c>
      <c r="I967" s="5">
        <f t="shared" si="15"/>
        <v>375000</v>
      </c>
    </row>
    <row r="968" spans="1:9" x14ac:dyDescent="0.3">
      <c r="A968" t="s">
        <v>572</v>
      </c>
      <c r="B968" t="s">
        <v>40</v>
      </c>
      <c r="C968" t="s">
        <v>17</v>
      </c>
      <c r="D968" t="s">
        <v>24</v>
      </c>
      <c r="E968">
        <v>64</v>
      </c>
      <c r="F968" s="6">
        <v>1200</v>
      </c>
      <c r="G968" s="6">
        <v>800</v>
      </c>
      <c r="H968" s="6">
        <v>76800</v>
      </c>
      <c r="I968" s="5">
        <f t="shared" si="15"/>
        <v>25600</v>
      </c>
    </row>
    <row r="969" spans="1:9" x14ac:dyDescent="0.3">
      <c r="A969" t="s">
        <v>50</v>
      </c>
      <c r="B969" t="s">
        <v>28</v>
      </c>
      <c r="C969" t="s">
        <v>14</v>
      </c>
      <c r="D969" t="s">
        <v>15</v>
      </c>
      <c r="E969">
        <v>97</v>
      </c>
      <c r="F969" s="6">
        <v>4000</v>
      </c>
      <c r="G969" s="6">
        <v>3000</v>
      </c>
      <c r="H969" s="6">
        <v>388000</v>
      </c>
      <c r="I969" s="5">
        <f t="shared" si="15"/>
        <v>97000</v>
      </c>
    </row>
    <row r="970" spans="1:9" x14ac:dyDescent="0.3">
      <c r="A970" t="s">
        <v>459</v>
      </c>
      <c r="B970" t="s">
        <v>9</v>
      </c>
      <c r="C970" t="s">
        <v>26</v>
      </c>
      <c r="D970" t="s">
        <v>11</v>
      </c>
      <c r="E970">
        <v>131</v>
      </c>
      <c r="F970" s="6">
        <v>3500</v>
      </c>
      <c r="G970" s="6">
        <v>2500</v>
      </c>
      <c r="H970" s="6">
        <v>458500</v>
      </c>
      <c r="I970" s="5">
        <f t="shared" si="15"/>
        <v>131000</v>
      </c>
    </row>
    <row r="971" spans="1:9" x14ac:dyDescent="0.3">
      <c r="A971" t="s">
        <v>375</v>
      </c>
      <c r="B971" t="s">
        <v>30</v>
      </c>
      <c r="C971" t="s">
        <v>17</v>
      </c>
      <c r="D971" t="s">
        <v>34</v>
      </c>
      <c r="E971">
        <v>59</v>
      </c>
      <c r="F971" s="6">
        <v>10000</v>
      </c>
      <c r="G971" s="6">
        <v>7000</v>
      </c>
      <c r="H971" s="6">
        <v>590000</v>
      </c>
      <c r="I971" s="5">
        <f t="shared" si="15"/>
        <v>177000</v>
      </c>
    </row>
    <row r="972" spans="1:9" x14ac:dyDescent="0.3">
      <c r="A972" t="s">
        <v>573</v>
      </c>
      <c r="B972" t="s">
        <v>36</v>
      </c>
      <c r="C972" t="s">
        <v>14</v>
      </c>
      <c r="D972" t="s">
        <v>11</v>
      </c>
      <c r="E972">
        <v>73</v>
      </c>
      <c r="F972" s="6">
        <v>3500</v>
      </c>
      <c r="G972" s="6">
        <v>2500</v>
      </c>
      <c r="H972" s="6">
        <v>255500</v>
      </c>
      <c r="I972" s="5">
        <f t="shared" si="15"/>
        <v>73000</v>
      </c>
    </row>
    <row r="973" spans="1:9" x14ac:dyDescent="0.3">
      <c r="A973" t="s">
        <v>574</v>
      </c>
      <c r="B973" t="s">
        <v>36</v>
      </c>
      <c r="C973" t="s">
        <v>10</v>
      </c>
      <c r="D973" t="s">
        <v>31</v>
      </c>
      <c r="E973">
        <v>69</v>
      </c>
      <c r="F973" s="6">
        <v>1000</v>
      </c>
      <c r="G973" s="6">
        <v>700</v>
      </c>
      <c r="H973" s="6">
        <v>69000</v>
      </c>
      <c r="I973" s="5">
        <f t="shared" si="15"/>
        <v>20700</v>
      </c>
    </row>
    <row r="974" spans="1:9" x14ac:dyDescent="0.3">
      <c r="A974" t="s">
        <v>122</v>
      </c>
      <c r="B974" t="s">
        <v>58</v>
      </c>
      <c r="C974" t="s">
        <v>10</v>
      </c>
      <c r="D974" t="s">
        <v>11</v>
      </c>
      <c r="E974">
        <v>63</v>
      </c>
      <c r="F974" s="6">
        <v>3500</v>
      </c>
      <c r="G974" s="6">
        <v>2500</v>
      </c>
      <c r="H974" s="6">
        <v>220500</v>
      </c>
      <c r="I974" s="5">
        <f t="shared" si="15"/>
        <v>63000</v>
      </c>
    </row>
    <row r="975" spans="1:9" x14ac:dyDescent="0.3">
      <c r="A975" t="s">
        <v>279</v>
      </c>
      <c r="B975" t="s">
        <v>43</v>
      </c>
      <c r="C975" t="s">
        <v>26</v>
      </c>
      <c r="D975" t="s">
        <v>31</v>
      </c>
      <c r="E975">
        <v>134</v>
      </c>
      <c r="F975" s="6">
        <v>1000</v>
      </c>
      <c r="G975" s="6">
        <v>700</v>
      </c>
      <c r="H975" s="6">
        <v>134000</v>
      </c>
      <c r="I975" s="5">
        <f t="shared" si="15"/>
        <v>40200</v>
      </c>
    </row>
    <row r="976" spans="1:9" x14ac:dyDescent="0.3">
      <c r="A976" t="s">
        <v>512</v>
      </c>
      <c r="B976" t="s">
        <v>9</v>
      </c>
      <c r="C976" t="s">
        <v>26</v>
      </c>
      <c r="D976" t="s">
        <v>34</v>
      </c>
      <c r="E976">
        <v>53</v>
      </c>
      <c r="F976" s="6">
        <v>10000</v>
      </c>
      <c r="G976" s="6">
        <v>7000</v>
      </c>
      <c r="H976" s="6">
        <v>530000</v>
      </c>
      <c r="I976" s="5">
        <f t="shared" si="15"/>
        <v>159000</v>
      </c>
    </row>
    <row r="977" spans="1:9" x14ac:dyDescent="0.3">
      <c r="A977" t="s">
        <v>575</v>
      </c>
      <c r="B977" t="s">
        <v>58</v>
      </c>
      <c r="C977" t="s">
        <v>26</v>
      </c>
      <c r="D977" t="s">
        <v>21</v>
      </c>
      <c r="E977">
        <v>88</v>
      </c>
      <c r="F977" s="6">
        <v>600</v>
      </c>
      <c r="G977" s="6">
        <v>400</v>
      </c>
      <c r="H977" s="6">
        <v>52800</v>
      </c>
      <c r="I977" s="5">
        <f t="shared" si="15"/>
        <v>17600</v>
      </c>
    </row>
    <row r="978" spans="1:9" x14ac:dyDescent="0.3">
      <c r="A978" t="s">
        <v>567</v>
      </c>
      <c r="B978" t="s">
        <v>13</v>
      </c>
      <c r="C978" t="s">
        <v>26</v>
      </c>
      <c r="D978" t="s">
        <v>21</v>
      </c>
      <c r="E978">
        <v>88</v>
      </c>
      <c r="F978" s="6">
        <v>600</v>
      </c>
      <c r="G978" s="6">
        <v>400</v>
      </c>
      <c r="H978" s="6">
        <v>52800</v>
      </c>
      <c r="I978" s="5">
        <f t="shared" si="15"/>
        <v>17600</v>
      </c>
    </row>
    <row r="979" spans="1:9" x14ac:dyDescent="0.3">
      <c r="A979" t="s">
        <v>70</v>
      </c>
      <c r="B979" t="s">
        <v>58</v>
      </c>
      <c r="C979" t="s">
        <v>17</v>
      </c>
      <c r="D979" t="s">
        <v>21</v>
      </c>
      <c r="E979">
        <v>149</v>
      </c>
      <c r="F979" s="6">
        <v>600</v>
      </c>
      <c r="G979" s="6">
        <v>400</v>
      </c>
      <c r="H979" s="6">
        <v>89400</v>
      </c>
      <c r="I979" s="5">
        <f t="shared" si="15"/>
        <v>29800</v>
      </c>
    </row>
    <row r="980" spans="1:9" x14ac:dyDescent="0.3">
      <c r="A980" t="s">
        <v>526</v>
      </c>
      <c r="B980" t="s">
        <v>40</v>
      </c>
      <c r="C980" t="s">
        <v>10</v>
      </c>
      <c r="D980" t="s">
        <v>15</v>
      </c>
      <c r="E980">
        <v>118</v>
      </c>
      <c r="F980" s="6">
        <v>4000</v>
      </c>
      <c r="G980" s="6">
        <v>3000</v>
      </c>
      <c r="H980" s="6">
        <v>472000</v>
      </c>
      <c r="I980" s="5">
        <f t="shared" si="15"/>
        <v>118000</v>
      </c>
    </row>
    <row r="981" spans="1:9" x14ac:dyDescent="0.3">
      <c r="A981" t="s">
        <v>319</v>
      </c>
      <c r="B981" t="s">
        <v>43</v>
      </c>
      <c r="C981" t="s">
        <v>17</v>
      </c>
      <c r="D981" t="s">
        <v>24</v>
      </c>
      <c r="E981">
        <v>71</v>
      </c>
      <c r="F981" s="6">
        <v>1200</v>
      </c>
      <c r="G981" s="6">
        <v>800</v>
      </c>
      <c r="H981" s="6">
        <v>85200</v>
      </c>
      <c r="I981" s="5">
        <f t="shared" si="15"/>
        <v>28400</v>
      </c>
    </row>
    <row r="982" spans="1:9" x14ac:dyDescent="0.3">
      <c r="A982" t="s">
        <v>491</v>
      </c>
      <c r="B982" t="s">
        <v>13</v>
      </c>
      <c r="C982" t="s">
        <v>17</v>
      </c>
      <c r="D982" t="s">
        <v>11</v>
      </c>
      <c r="E982">
        <v>59</v>
      </c>
      <c r="F982" s="6">
        <v>3500</v>
      </c>
      <c r="G982" s="6">
        <v>2500</v>
      </c>
      <c r="H982" s="6">
        <v>206500</v>
      </c>
      <c r="I982" s="5">
        <f t="shared" si="15"/>
        <v>59000</v>
      </c>
    </row>
    <row r="983" spans="1:9" x14ac:dyDescent="0.3">
      <c r="A983" t="s">
        <v>414</v>
      </c>
      <c r="B983" t="s">
        <v>23</v>
      </c>
      <c r="C983" t="s">
        <v>10</v>
      </c>
      <c r="D983" t="s">
        <v>34</v>
      </c>
      <c r="E983">
        <v>123</v>
      </c>
      <c r="F983" s="6">
        <v>10000</v>
      </c>
      <c r="G983" s="6">
        <v>7000</v>
      </c>
      <c r="H983" s="6">
        <v>1230000</v>
      </c>
      <c r="I983" s="5">
        <f t="shared" si="15"/>
        <v>369000</v>
      </c>
    </row>
    <row r="984" spans="1:9" x14ac:dyDescent="0.3">
      <c r="A984" t="s">
        <v>280</v>
      </c>
      <c r="B984" t="s">
        <v>36</v>
      </c>
      <c r="C984" t="s">
        <v>14</v>
      </c>
      <c r="D984" t="s">
        <v>11</v>
      </c>
      <c r="E984">
        <v>51</v>
      </c>
      <c r="F984" s="6">
        <v>3500</v>
      </c>
      <c r="G984" s="6">
        <v>2500</v>
      </c>
      <c r="H984" s="6">
        <v>178500</v>
      </c>
      <c r="I984" s="5">
        <f t="shared" si="15"/>
        <v>51000</v>
      </c>
    </row>
    <row r="985" spans="1:9" x14ac:dyDescent="0.3">
      <c r="A985" t="s">
        <v>576</v>
      </c>
      <c r="B985" t="s">
        <v>36</v>
      </c>
      <c r="C985" t="s">
        <v>14</v>
      </c>
      <c r="D985" t="s">
        <v>31</v>
      </c>
      <c r="E985">
        <v>103</v>
      </c>
      <c r="F985" s="6">
        <v>1000</v>
      </c>
      <c r="G985" s="6">
        <v>700</v>
      </c>
      <c r="H985" s="6">
        <v>103000</v>
      </c>
      <c r="I985" s="5">
        <f t="shared" si="15"/>
        <v>30900</v>
      </c>
    </row>
    <row r="986" spans="1:9" x14ac:dyDescent="0.3">
      <c r="A986" t="s">
        <v>199</v>
      </c>
      <c r="B986" t="s">
        <v>30</v>
      </c>
      <c r="C986" t="s">
        <v>10</v>
      </c>
      <c r="D986" t="s">
        <v>21</v>
      </c>
      <c r="E986">
        <v>102</v>
      </c>
      <c r="F986" s="6">
        <v>600</v>
      </c>
      <c r="G986" s="6">
        <v>400</v>
      </c>
      <c r="H986" s="6">
        <v>61200</v>
      </c>
      <c r="I986" s="5">
        <f t="shared" si="15"/>
        <v>20400</v>
      </c>
    </row>
    <row r="987" spans="1:9" x14ac:dyDescent="0.3">
      <c r="A987" t="s">
        <v>187</v>
      </c>
      <c r="B987" t="s">
        <v>58</v>
      </c>
      <c r="C987" t="s">
        <v>14</v>
      </c>
      <c r="D987" t="s">
        <v>31</v>
      </c>
      <c r="E987">
        <v>63</v>
      </c>
      <c r="F987" s="6">
        <v>1000</v>
      </c>
      <c r="G987" s="6">
        <v>700</v>
      </c>
      <c r="H987" s="6">
        <v>63000</v>
      </c>
      <c r="I987" s="5">
        <f t="shared" si="15"/>
        <v>18900</v>
      </c>
    </row>
    <row r="988" spans="1:9" x14ac:dyDescent="0.3">
      <c r="A988" t="s">
        <v>368</v>
      </c>
      <c r="B988" t="s">
        <v>43</v>
      </c>
      <c r="C988" t="s">
        <v>14</v>
      </c>
      <c r="D988" t="s">
        <v>21</v>
      </c>
      <c r="E988">
        <v>97</v>
      </c>
      <c r="F988" s="6">
        <v>600</v>
      </c>
      <c r="G988" s="6">
        <v>400</v>
      </c>
      <c r="H988" s="6">
        <v>58200</v>
      </c>
      <c r="I988" s="5">
        <f t="shared" si="15"/>
        <v>19400</v>
      </c>
    </row>
    <row r="989" spans="1:9" x14ac:dyDescent="0.3">
      <c r="A989" t="s">
        <v>577</v>
      </c>
      <c r="B989" t="s">
        <v>43</v>
      </c>
      <c r="C989" t="s">
        <v>14</v>
      </c>
      <c r="D989" t="s">
        <v>24</v>
      </c>
      <c r="E989">
        <v>84</v>
      </c>
      <c r="F989" s="6">
        <v>1200</v>
      </c>
      <c r="G989" s="6">
        <v>800</v>
      </c>
      <c r="H989" s="6">
        <v>100800</v>
      </c>
      <c r="I989" s="5">
        <f t="shared" si="15"/>
        <v>33600</v>
      </c>
    </row>
    <row r="990" spans="1:9" x14ac:dyDescent="0.3">
      <c r="A990" t="s">
        <v>259</v>
      </c>
      <c r="B990" t="s">
        <v>36</v>
      </c>
      <c r="C990" t="s">
        <v>14</v>
      </c>
      <c r="D990" t="s">
        <v>21</v>
      </c>
      <c r="E990">
        <v>56</v>
      </c>
      <c r="F990" s="6">
        <v>600</v>
      </c>
      <c r="G990" s="6">
        <v>400</v>
      </c>
      <c r="H990" s="6">
        <v>33600</v>
      </c>
      <c r="I990" s="5">
        <f t="shared" si="15"/>
        <v>11200</v>
      </c>
    </row>
    <row r="991" spans="1:9" x14ac:dyDescent="0.3">
      <c r="A991" t="s">
        <v>578</v>
      </c>
      <c r="B991" t="s">
        <v>28</v>
      </c>
      <c r="C991" t="s">
        <v>14</v>
      </c>
      <c r="D991" t="s">
        <v>15</v>
      </c>
      <c r="E991">
        <v>95</v>
      </c>
      <c r="F991" s="6">
        <v>4000</v>
      </c>
      <c r="G991" s="6">
        <v>3000</v>
      </c>
      <c r="H991" s="6">
        <v>380000</v>
      </c>
      <c r="I991" s="5">
        <f t="shared" si="15"/>
        <v>95000</v>
      </c>
    </row>
    <row r="992" spans="1:9" x14ac:dyDescent="0.3">
      <c r="A992" t="s">
        <v>167</v>
      </c>
      <c r="B992" t="s">
        <v>30</v>
      </c>
      <c r="C992" t="s">
        <v>10</v>
      </c>
      <c r="D992" t="s">
        <v>34</v>
      </c>
      <c r="E992">
        <v>54</v>
      </c>
      <c r="F992" s="6">
        <v>10000</v>
      </c>
      <c r="G992" s="6">
        <v>7000</v>
      </c>
      <c r="H992" s="6">
        <v>540000</v>
      </c>
      <c r="I992" s="5">
        <f t="shared" si="15"/>
        <v>162000</v>
      </c>
    </row>
    <row r="993" spans="1:9" x14ac:dyDescent="0.3">
      <c r="A993" t="s">
        <v>555</v>
      </c>
      <c r="B993" t="s">
        <v>43</v>
      </c>
      <c r="C993" t="s">
        <v>10</v>
      </c>
      <c r="D993" t="s">
        <v>31</v>
      </c>
      <c r="E993">
        <v>67</v>
      </c>
      <c r="F993" s="6">
        <v>1000</v>
      </c>
      <c r="G993" s="6">
        <v>700</v>
      </c>
      <c r="H993" s="6">
        <v>67000</v>
      </c>
      <c r="I993" s="5">
        <f t="shared" si="15"/>
        <v>20100</v>
      </c>
    </row>
    <row r="994" spans="1:9" x14ac:dyDescent="0.3">
      <c r="A994" t="s">
        <v>258</v>
      </c>
      <c r="B994" t="s">
        <v>40</v>
      </c>
      <c r="C994" t="s">
        <v>14</v>
      </c>
      <c r="D994" t="s">
        <v>18</v>
      </c>
      <c r="E994">
        <v>116</v>
      </c>
      <c r="F994" s="6">
        <v>6000</v>
      </c>
      <c r="G994" s="6">
        <v>4000</v>
      </c>
      <c r="H994" s="6">
        <v>696000</v>
      </c>
      <c r="I994" s="5">
        <f t="shared" si="15"/>
        <v>232000</v>
      </c>
    </row>
    <row r="995" spans="1:9" x14ac:dyDescent="0.3">
      <c r="A995" t="s">
        <v>464</v>
      </c>
      <c r="B995" t="s">
        <v>28</v>
      </c>
      <c r="C995" t="s">
        <v>14</v>
      </c>
      <c r="D995" t="s">
        <v>18</v>
      </c>
      <c r="E995">
        <v>90</v>
      </c>
      <c r="F995" s="6">
        <v>6000</v>
      </c>
      <c r="G995" s="6">
        <v>4000</v>
      </c>
      <c r="H995" s="6">
        <v>540000</v>
      </c>
      <c r="I995" s="5">
        <f t="shared" si="15"/>
        <v>180000</v>
      </c>
    </row>
    <row r="996" spans="1:9" x14ac:dyDescent="0.3">
      <c r="A996" t="s">
        <v>183</v>
      </c>
      <c r="B996" t="s">
        <v>43</v>
      </c>
      <c r="C996" t="s">
        <v>14</v>
      </c>
      <c r="D996" t="s">
        <v>11</v>
      </c>
      <c r="E996">
        <v>147</v>
      </c>
      <c r="F996" s="6">
        <v>3500</v>
      </c>
      <c r="G996" s="6">
        <v>2500</v>
      </c>
      <c r="H996" s="6">
        <v>514500</v>
      </c>
      <c r="I996" s="5">
        <f t="shared" si="15"/>
        <v>147000</v>
      </c>
    </row>
    <row r="997" spans="1:9" x14ac:dyDescent="0.3">
      <c r="A997" t="s">
        <v>390</v>
      </c>
      <c r="B997" t="s">
        <v>58</v>
      </c>
      <c r="C997" t="s">
        <v>17</v>
      </c>
      <c r="D997" t="s">
        <v>15</v>
      </c>
      <c r="E997">
        <v>115</v>
      </c>
      <c r="F997" s="6">
        <v>4000</v>
      </c>
      <c r="G997" s="6">
        <v>3000</v>
      </c>
      <c r="H997" s="6">
        <v>460000</v>
      </c>
      <c r="I997" s="5">
        <f t="shared" si="15"/>
        <v>115000</v>
      </c>
    </row>
    <row r="998" spans="1:9" x14ac:dyDescent="0.3">
      <c r="A998" t="s">
        <v>113</v>
      </c>
      <c r="B998" t="s">
        <v>43</v>
      </c>
      <c r="C998" t="s">
        <v>17</v>
      </c>
      <c r="D998" t="s">
        <v>24</v>
      </c>
      <c r="E998">
        <v>114</v>
      </c>
      <c r="F998" s="6">
        <v>1200</v>
      </c>
      <c r="G998" s="6">
        <v>800</v>
      </c>
      <c r="H998" s="6">
        <v>136800</v>
      </c>
      <c r="I998" s="5">
        <f t="shared" si="15"/>
        <v>45600</v>
      </c>
    </row>
    <row r="999" spans="1:9" x14ac:dyDescent="0.3">
      <c r="A999" t="s">
        <v>142</v>
      </c>
      <c r="B999" t="s">
        <v>30</v>
      </c>
      <c r="C999" t="s">
        <v>17</v>
      </c>
      <c r="D999" t="s">
        <v>15</v>
      </c>
      <c r="E999">
        <v>117</v>
      </c>
      <c r="F999" s="6">
        <v>4000</v>
      </c>
      <c r="G999" s="6">
        <v>3000</v>
      </c>
      <c r="H999" s="6">
        <v>468000</v>
      </c>
      <c r="I999" s="5">
        <f t="shared" si="15"/>
        <v>117000</v>
      </c>
    </row>
    <row r="1000" spans="1:9" x14ac:dyDescent="0.3">
      <c r="A1000" t="s">
        <v>215</v>
      </c>
      <c r="B1000" t="s">
        <v>20</v>
      </c>
      <c r="C1000" t="s">
        <v>10</v>
      </c>
      <c r="D1000" t="s">
        <v>24</v>
      </c>
      <c r="E1000">
        <v>127</v>
      </c>
      <c r="F1000" s="6">
        <v>1200</v>
      </c>
      <c r="G1000" s="6">
        <v>800</v>
      </c>
      <c r="H1000" s="6">
        <v>152400</v>
      </c>
      <c r="I1000" s="5">
        <f t="shared" si="15"/>
        <v>50800</v>
      </c>
    </row>
    <row r="1001" spans="1:9" x14ac:dyDescent="0.3">
      <c r="A1001" t="s">
        <v>579</v>
      </c>
      <c r="B1001" t="s">
        <v>20</v>
      </c>
      <c r="C1001" t="s">
        <v>17</v>
      </c>
      <c r="D1001" t="s">
        <v>18</v>
      </c>
      <c r="E1001">
        <v>121</v>
      </c>
      <c r="F1001" s="6">
        <v>6000</v>
      </c>
      <c r="G1001" s="6">
        <v>4000</v>
      </c>
      <c r="H1001" s="6">
        <v>726000</v>
      </c>
      <c r="I1001" s="5">
        <f t="shared" si="15"/>
        <v>242000</v>
      </c>
    </row>
    <row r="1002" spans="1:9" x14ac:dyDescent="0.3">
      <c r="A1002" t="s">
        <v>580</v>
      </c>
      <c r="B1002" t="s">
        <v>28</v>
      </c>
      <c r="C1002" t="s">
        <v>10</v>
      </c>
      <c r="D1002" t="s">
        <v>18</v>
      </c>
      <c r="E1002">
        <v>83</v>
      </c>
      <c r="F1002" s="6">
        <v>6000</v>
      </c>
      <c r="G1002" s="6">
        <v>4000</v>
      </c>
      <c r="H1002" s="6">
        <v>498000</v>
      </c>
      <c r="I1002" s="5">
        <f t="shared" si="15"/>
        <v>166000</v>
      </c>
    </row>
    <row r="1003" spans="1:9" x14ac:dyDescent="0.3">
      <c r="A1003" t="s">
        <v>159</v>
      </c>
      <c r="B1003" t="s">
        <v>28</v>
      </c>
      <c r="C1003" t="s">
        <v>26</v>
      </c>
      <c r="D1003" t="s">
        <v>11</v>
      </c>
      <c r="E1003">
        <v>84</v>
      </c>
      <c r="F1003" s="6">
        <v>3500</v>
      </c>
      <c r="G1003" s="6">
        <v>2500</v>
      </c>
      <c r="H1003" s="6">
        <v>294000</v>
      </c>
      <c r="I1003" s="5">
        <f t="shared" si="15"/>
        <v>84000</v>
      </c>
    </row>
    <row r="1004" spans="1:9" x14ac:dyDescent="0.3">
      <c r="A1004" t="s">
        <v>211</v>
      </c>
      <c r="B1004" t="s">
        <v>13</v>
      </c>
      <c r="C1004" t="s">
        <v>14</v>
      </c>
      <c r="D1004" t="s">
        <v>31</v>
      </c>
      <c r="E1004">
        <v>69</v>
      </c>
      <c r="F1004" s="6">
        <v>1000</v>
      </c>
      <c r="G1004" s="6">
        <v>700</v>
      </c>
      <c r="H1004" s="6">
        <v>69000</v>
      </c>
      <c r="I1004" s="5">
        <f t="shared" si="15"/>
        <v>20700</v>
      </c>
    </row>
    <row r="1005" spans="1:9" x14ac:dyDescent="0.3">
      <c r="A1005" t="s">
        <v>547</v>
      </c>
      <c r="B1005" t="s">
        <v>20</v>
      </c>
      <c r="C1005" t="s">
        <v>26</v>
      </c>
      <c r="D1005" t="s">
        <v>34</v>
      </c>
      <c r="E1005">
        <v>58</v>
      </c>
      <c r="F1005" s="6">
        <v>10000</v>
      </c>
      <c r="G1005" s="6">
        <v>7000</v>
      </c>
      <c r="H1005" s="6">
        <v>580000</v>
      </c>
      <c r="I1005" s="5">
        <f t="shared" si="15"/>
        <v>174000</v>
      </c>
    </row>
    <row r="1006" spans="1:9" x14ac:dyDescent="0.3">
      <c r="A1006" t="s">
        <v>84</v>
      </c>
      <c r="B1006" t="s">
        <v>58</v>
      </c>
      <c r="C1006" t="s">
        <v>10</v>
      </c>
      <c r="D1006" t="s">
        <v>34</v>
      </c>
      <c r="E1006">
        <v>79</v>
      </c>
      <c r="F1006" s="6">
        <v>10000</v>
      </c>
      <c r="G1006" s="6">
        <v>7000</v>
      </c>
      <c r="H1006" s="6">
        <v>790000</v>
      </c>
      <c r="I1006" s="5">
        <f t="shared" si="15"/>
        <v>237000</v>
      </c>
    </row>
    <row r="1007" spans="1:9" x14ac:dyDescent="0.3">
      <c r="A1007" t="s">
        <v>543</v>
      </c>
      <c r="B1007" t="s">
        <v>13</v>
      </c>
      <c r="C1007" t="s">
        <v>14</v>
      </c>
      <c r="D1007" t="s">
        <v>15</v>
      </c>
      <c r="E1007">
        <v>67</v>
      </c>
      <c r="F1007" s="6">
        <v>4000</v>
      </c>
      <c r="G1007" s="6">
        <v>3000</v>
      </c>
      <c r="H1007" s="6">
        <v>268000</v>
      </c>
      <c r="I1007" s="5">
        <f t="shared" si="15"/>
        <v>67000</v>
      </c>
    </row>
    <row r="1008" spans="1:9" x14ac:dyDescent="0.3">
      <c r="A1008" t="s">
        <v>226</v>
      </c>
      <c r="B1008" t="s">
        <v>9</v>
      </c>
      <c r="C1008" t="s">
        <v>26</v>
      </c>
      <c r="D1008" t="s">
        <v>15</v>
      </c>
      <c r="E1008">
        <v>75</v>
      </c>
      <c r="F1008" s="6">
        <v>4000</v>
      </c>
      <c r="G1008" s="6">
        <v>3000</v>
      </c>
      <c r="H1008" s="6">
        <v>300000</v>
      </c>
      <c r="I1008" s="5">
        <f t="shared" si="15"/>
        <v>75000</v>
      </c>
    </row>
    <row r="1009" spans="1:9" x14ac:dyDescent="0.3">
      <c r="A1009" t="s">
        <v>358</v>
      </c>
      <c r="B1009" t="s">
        <v>20</v>
      </c>
      <c r="C1009" t="s">
        <v>14</v>
      </c>
      <c r="D1009" t="s">
        <v>21</v>
      </c>
      <c r="E1009">
        <v>75</v>
      </c>
      <c r="F1009" s="6">
        <v>600</v>
      </c>
      <c r="G1009" s="6">
        <v>400</v>
      </c>
      <c r="H1009" s="6">
        <v>45000</v>
      </c>
      <c r="I1009" s="5">
        <f t="shared" si="15"/>
        <v>15000</v>
      </c>
    </row>
    <row r="1010" spans="1:9" x14ac:dyDescent="0.3">
      <c r="A1010" t="s">
        <v>328</v>
      </c>
      <c r="B1010" t="s">
        <v>23</v>
      </c>
      <c r="C1010" t="s">
        <v>10</v>
      </c>
      <c r="D1010" t="s">
        <v>34</v>
      </c>
      <c r="E1010">
        <v>149</v>
      </c>
      <c r="F1010" s="6">
        <v>10000</v>
      </c>
      <c r="G1010" s="6">
        <v>7000</v>
      </c>
      <c r="H1010" s="6">
        <v>1490000</v>
      </c>
      <c r="I1010" s="5">
        <f t="shared" si="15"/>
        <v>447000</v>
      </c>
    </row>
    <row r="1011" spans="1:9" x14ac:dyDescent="0.3">
      <c r="A1011" t="s">
        <v>527</v>
      </c>
      <c r="B1011" t="s">
        <v>58</v>
      </c>
      <c r="C1011" t="s">
        <v>10</v>
      </c>
      <c r="D1011" t="s">
        <v>18</v>
      </c>
      <c r="E1011">
        <v>137</v>
      </c>
      <c r="F1011" s="6">
        <v>6000</v>
      </c>
      <c r="G1011" s="6">
        <v>4000</v>
      </c>
      <c r="H1011" s="6">
        <v>822000</v>
      </c>
      <c r="I1011" s="5">
        <f t="shared" si="15"/>
        <v>274000</v>
      </c>
    </row>
    <row r="1012" spans="1:9" x14ac:dyDescent="0.3">
      <c r="A1012" t="s">
        <v>208</v>
      </c>
      <c r="B1012" t="s">
        <v>20</v>
      </c>
      <c r="C1012" t="s">
        <v>14</v>
      </c>
      <c r="D1012" t="s">
        <v>21</v>
      </c>
      <c r="E1012">
        <v>140</v>
      </c>
      <c r="F1012" s="6">
        <v>600</v>
      </c>
      <c r="G1012" s="6">
        <v>400</v>
      </c>
      <c r="H1012" s="6">
        <v>84000</v>
      </c>
      <c r="I1012" s="5">
        <f t="shared" si="15"/>
        <v>28000</v>
      </c>
    </row>
    <row r="1013" spans="1:9" x14ac:dyDescent="0.3">
      <c r="A1013" t="s">
        <v>126</v>
      </c>
      <c r="B1013" t="s">
        <v>30</v>
      </c>
      <c r="C1013" t="s">
        <v>26</v>
      </c>
      <c r="D1013" t="s">
        <v>31</v>
      </c>
      <c r="E1013">
        <v>103</v>
      </c>
      <c r="F1013" s="6">
        <v>1000</v>
      </c>
      <c r="G1013" s="6">
        <v>700</v>
      </c>
      <c r="H1013" s="6">
        <v>103000</v>
      </c>
      <c r="I1013" s="5">
        <f t="shared" si="15"/>
        <v>30900</v>
      </c>
    </row>
    <row r="1014" spans="1:9" x14ac:dyDescent="0.3">
      <c r="A1014" t="s">
        <v>581</v>
      </c>
      <c r="B1014" t="s">
        <v>13</v>
      </c>
      <c r="C1014" t="s">
        <v>10</v>
      </c>
      <c r="D1014" t="s">
        <v>31</v>
      </c>
      <c r="E1014">
        <v>114</v>
      </c>
      <c r="F1014" s="6">
        <v>1000</v>
      </c>
      <c r="G1014" s="6">
        <v>700</v>
      </c>
      <c r="H1014" s="6">
        <v>114000</v>
      </c>
      <c r="I1014" s="5">
        <f t="shared" si="15"/>
        <v>34200</v>
      </c>
    </row>
    <row r="1015" spans="1:9" x14ac:dyDescent="0.3">
      <c r="A1015" t="s">
        <v>379</v>
      </c>
      <c r="B1015" t="s">
        <v>9</v>
      </c>
      <c r="C1015" t="s">
        <v>14</v>
      </c>
      <c r="D1015" t="s">
        <v>24</v>
      </c>
      <c r="E1015">
        <v>140</v>
      </c>
      <c r="F1015" s="6">
        <v>1200</v>
      </c>
      <c r="G1015" s="6">
        <v>800</v>
      </c>
      <c r="H1015" s="6">
        <v>168000</v>
      </c>
      <c r="I1015" s="5">
        <f t="shared" si="15"/>
        <v>56000</v>
      </c>
    </row>
    <row r="1016" spans="1:9" x14ac:dyDescent="0.3">
      <c r="A1016" t="s">
        <v>369</v>
      </c>
      <c r="B1016" t="s">
        <v>20</v>
      </c>
      <c r="C1016" t="s">
        <v>10</v>
      </c>
      <c r="D1016" t="s">
        <v>21</v>
      </c>
      <c r="E1016">
        <v>105</v>
      </c>
      <c r="F1016" s="6">
        <v>600</v>
      </c>
      <c r="G1016" s="6">
        <v>400</v>
      </c>
      <c r="H1016" s="6">
        <v>63000</v>
      </c>
      <c r="I1016" s="5">
        <f t="shared" si="15"/>
        <v>21000</v>
      </c>
    </row>
    <row r="1017" spans="1:9" x14ac:dyDescent="0.3">
      <c r="A1017" t="s">
        <v>42</v>
      </c>
      <c r="B1017" t="s">
        <v>36</v>
      </c>
      <c r="C1017" t="s">
        <v>17</v>
      </c>
      <c r="D1017" t="s">
        <v>31</v>
      </c>
      <c r="E1017">
        <v>88</v>
      </c>
      <c r="F1017" s="6">
        <v>1000</v>
      </c>
      <c r="G1017" s="6">
        <v>700</v>
      </c>
      <c r="H1017" s="6">
        <v>88000</v>
      </c>
      <c r="I1017" s="5">
        <f t="shared" si="15"/>
        <v>26400</v>
      </c>
    </row>
    <row r="1018" spans="1:9" x14ac:dyDescent="0.3">
      <c r="A1018" t="s">
        <v>44</v>
      </c>
      <c r="B1018" t="s">
        <v>9</v>
      </c>
      <c r="C1018" t="s">
        <v>17</v>
      </c>
      <c r="D1018" t="s">
        <v>18</v>
      </c>
      <c r="E1018">
        <v>145</v>
      </c>
      <c r="F1018" s="6">
        <v>6000</v>
      </c>
      <c r="G1018" s="6">
        <v>4000</v>
      </c>
      <c r="H1018" s="6">
        <v>870000</v>
      </c>
      <c r="I1018" s="5">
        <f t="shared" si="15"/>
        <v>290000</v>
      </c>
    </row>
    <row r="1019" spans="1:9" x14ac:dyDescent="0.3">
      <c r="A1019" t="s">
        <v>477</v>
      </c>
      <c r="B1019" t="s">
        <v>36</v>
      </c>
      <c r="C1019" t="s">
        <v>10</v>
      </c>
      <c r="D1019" t="s">
        <v>24</v>
      </c>
      <c r="E1019">
        <v>52</v>
      </c>
      <c r="F1019" s="6">
        <v>1200</v>
      </c>
      <c r="G1019" s="6">
        <v>800</v>
      </c>
      <c r="H1019" s="6">
        <v>62400</v>
      </c>
      <c r="I1019" s="5">
        <f t="shared" si="15"/>
        <v>20800</v>
      </c>
    </row>
    <row r="1020" spans="1:9" x14ac:dyDescent="0.3">
      <c r="A1020" t="s">
        <v>78</v>
      </c>
      <c r="B1020" t="s">
        <v>43</v>
      </c>
      <c r="C1020" t="s">
        <v>14</v>
      </c>
      <c r="D1020" t="s">
        <v>21</v>
      </c>
      <c r="E1020">
        <v>107</v>
      </c>
      <c r="F1020" s="6">
        <v>600</v>
      </c>
      <c r="G1020" s="6">
        <v>400</v>
      </c>
      <c r="H1020" s="6">
        <v>64200</v>
      </c>
      <c r="I1020" s="5">
        <f t="shared" si="15"/>
        <v>21400</v>
      </c>
    </row>
    <row r="1021" spans="1:9" x14ac:dyDescent="0.3">
      <c r="A1021" t="s">
        <v>480</v>
      </c>
      <c r="B1021" t="s">
        <v>9</v>
      </c>
      <c r="C1021" t="s">
        <v>26</v>
      </c>
      <c r="D1021" t="s">
        <v>11</v>
      </c>
      <c r="E1021">
        <v>128</v>
      </c>
      <c r="F1021" s="6">
        <v>3500</v>
      </c>
      <c r="G1021" s="6">
        <v>2500</v>
      </c>
      <c r="H1021" s="6">
        <v>448000</v>
      </c>
      <c r="I1021" s="5">
        <f t="shared" si="15"/>
        <v>128000</v>
      </c>
    </row>
    <row r="1022" spans="1:9" x14ac:dyDescent="0.3">
      <c r="A1022" t="s">
        <v>457</v>
      </c>
      <c r="B1022" t="s">
        <v>30</v>
      </c>
      <c r="C1022" t="s">
        <v>17</v>
      </c>
      <c r="D1022" t="s">
        <v>24</v>
      </c>
      <c r="E1022">
        <v>61</v>
      </c>
      <c r="F1022" s="6">
        <v>1200</v>
      </c>
      <c r="G1022" s="6">
        <v>800</v>
      </c>
      <c r="H1022" s="6">
        <v>73200</v>
      </c>
      <c r="I1022" s="5">
        <f t="shared" si="15"/>
        <v>24400</v>
      </c>
    </row>
    <row r="1023" spans="1:9" x14ac:dyDescent="0.3">
      <c r="A1023" t="s">
        <v>582</v>
      </c>
      <c r="B1023" t="s">
        <v>13</v>
      </c>
      <c r="C1023" t="s">
        <v>17</v>
      </c>
      <c r="D1023" t="s">
        <v>15</v>
      </c>
      <c r="E1023">
        <v>130</v>
      </c>
      <c r="F1023" s="6">
        <v>4000</v>
      </c>
      <c r="G1023" s="6">
        <v>3000</v>
      </c>
      <c r="H1023" s="6">
        <v>520000</v>
      </c>
      <c r="I1023" s="5">
        <f t="shared" si="15"/>
        <v>130000</v>
      </c>
    </row>
    <row r="1024" spans="1:9" x14ac:dyDescent="0.3">
      <c r="A1024" t="s">
        <v>238</v>
      </c>
      <c r="B1024" t="s">
        <v>30</v>
      </c>
      <c r="C1024" t="s">
        <v>14</v>
      </c>
      <c r="D1024" t="s">
        <v>31</v>
      </c>
      <c r="E1024">
        <v>63</v>
      </c>
      <c r="F1024" s="6">
        <v>1000</v>
      </c>
      <c r="G1024" s="6">
        <v>700</v>
      </c>
      <c r="H1024" s="6">
        <v>63000</v>
      </c>
      <c r="I1024" s="5">
        <f t="shared" si="15"/>
        <v>18900</v>
      </c>
    </row>
    <row r="1025" spans="1:9" x14ac:dyDescent="0.3">
      <c r="A1025" t="s">
        <v>583</v>
      </c>
      <c r="B1025" t="s">
        <v>13</v>
      </c>
      <c r="C1025" t="s">
        <v>10</v>
      </c>
      <c r="D1025" t="s">
        <v>24</v>
      </c>
      <c r="E1025">
        <v>61</v>
      </c>
      <c r="F1025" s="6">
        <v>1200</v>
      </c>
      <c r="G1025" s="6">
        <v>800</v>
      </c>
      <c r="H1025" s="6">
        <v>73200</v>
      </c>
      <c r="I1025" s="5">
        <f t="shared" si="15"/>
        <v>24400</v>
      </c>
    </row>
    <row r="1026" spans="1:9" x14ac:dyDescent="0.3">
      <c r="A1026" t="s">
        <v>125</v>
      </c>
      <c r="B1026" t="s">
        <v>23</v>
      </c>
      <c r="C1026" t="s">
        <v>17</v>
      </c>
      <c r="D1026" t="s">
        <v>11</v>
      </c>
      <c r="E1026">
        <v>102</v>
      </c>
      <c r="F1026" s="6">
        <v>3500</v>
      </c>
      <c r="G1026" s="6">
        <v>2500</v>
      </c>
      <c r="H1026" s="6">
        <v>357000</v>
      </c>
      <c r="I1026" s="5">
        <f t="shared" ref="I1026:I1089" si="16">H1026-(G1026*E1026)</f>
        <v>102000</v>
      </c>
    </row>
    <row r="1027" spans="1:9" x14ac:dyDescent="0.3">
      <c r="A1027" t="s">
        <v>148</v>
      </c>
      <c r="B1027" t="s">
        <v>20</v>
      </c>
      <c r="C1027" t="s">
        <v>26</v>
      </c>
      <c r="D1027" t="s">
        <v>18</v>
      </c>
      <c r="E1027">
        <v>91</v>
      </c>
      <c r="F1027" s="6">
        <v>6000</v>
      </c>
      <c r="G1027" s="6">
        <v>4000</v>
      </c>
      <c r="H1027" s="6">
        <v>546000</v>
      </c>
      <c r="I1027" s="5">
        <f t="shared" si="16"/>
        <v>182000</v>
      </c>
    </row>
    <row r="1028" spans="1:9" x14ac:dyDescent="0.3">
      <c r="A1028" t="s">
        <v>248</v>
      </c>
      <c r="B1028" t="s">
        <v>30</v>
      </c>
      <c r="C1028" t="s">
        <v>14</v>
      </c>
      <c r="D1028" t="s">
        <v>18</v>
      </c>
      <c r="E1028">
        <v>99</v>
      </c>
      <c r="F1028" s="6">
        <v>6000</v>
      </c>
      <c r="G1028" s="6">
        <v>4000</v>
      </c>
      <c r="H1028" s="6">
        <v>594000</v>
      </c>
      <c r="I1028" s="5">
        <f t="shared" si="16"/>
        <v>198000</v>
      </c>
    </row>
    <row r="1029" spans="1:9" x14ac:dyDescent="0.3">
      <c r="A1029" t="s">
        <v>555</v>
      </c>
      <c r="B1029" t="s">
        <v>9</v>
      </c>
      <c r="C1029" t="s">
        <v>10</v>
      </c>
      <c r="D1029" t="s">
        <v>21</v>
      </c>
      <c r="E1029">
        <v>139</v>
      </c>
      <c r="F1029" s="6">
        <v>600</v>
      </c>
      <c r="G1029" s="6">
        <v>400</v>
      </c>
      <c r="H1029" s="6">
        <v>83400</v>
      </c>
      <c r="I1029" s="5">
        <f t="shared" si="16"/>
        <v>27800</v>
      </c>
    </row>
    <row r="1030" spans="1:9" x14ac:dyDescent="0.3">
      <c r="A1030" t="s">
        <v>584</v>
      </c>
      <c r="B1030" t="s">
        <v>43</v>
      </c>
      <c r="C1030" t="s">
        <v>26</v>
      </c>
      <c r="D1030" t="s">
        <v>11</v>
      </c>
      <c r="E1030">
        <v>140</v>
      </c>
      <c r="F1030" s="6">
        <v>3500</v>
      </c>
      <c r="G1030" s="6">
        <v>2500</v>
      </c>
      <c r="H1030" s="6">
        <v>490000</v>
      </c>
      <c r="I1030" s="5">
        <f t="shared" si="16"/>
        <v>140000</v>
      </c>
    </row>
    <row r="1031" spans="1:9" x14ac:dyDescent="0.3">
      <c r="A1031" t="s">
        <v>417</v>
      </c>
      <c r="B1031" t="s">
        <v>9</v>
      </c>
      <c r="C1031" t="s">
        <v>10</v>
      </c>
      <c r="D1031" t="s">
        <v>34</v>
      </c>
      <c r="E1031">
        <v>94</v>
      </c>
      <c r="F1031" s="6">
        <v>10000</v>
      </c>
      <c r="G1031" s="6">
        <v>7000</v>
      </c>
      <c r="H1031" s="6">
        <v>940000</v>
      </c>
      <c r="I1031" s="5">
        <f t="shared" si="16"/>
        <v>282000</v>
      </c>
    </row>
    <row r="1032" spans="1:9" x14ac:dyDescent="0.3">
      <c r="A1032" t="s">
        <v>249</v>
      </c>
      <c r="B1032" t="s">
        <v>36</v>
      </c>
      <c r="C1032" t="s">
        <v>10</v>
      </c>
      <c r="D1032" t="s">
        <v>24</v>
      </c>
      <c r="E1032">
        <v>79</v>
      </c>
      <c r="F1032" s="6">
        <v>1200</v>
      </c>
      <c r="G1032" s="6">
        <v>800</v>
      </c>
      <c r="H1032" s="6">
        <v>94800</v>
      </c>
      <c r="I1032" s="5">
        <f t="shared" si="16"/>
        <v>31600</v>
      </c>
    </row>
    <row r="1033" spans="1:9" x14ac:dyDescent="0.3">
      <c r="A1033" t="s">
        <v>368</v>
      </c>
      <c r="B1033" t="s">
        <v>40</v>
      </c>
      <c r="C1033" t="s">
        <v>17</v>
      </c>
      <c r="D1033" t="s">
        <v>31</v>
      </c>
      <c r="E1033">
        <v>61</v>
      </c>
      <c r="F1033" s="6">
        <v>1000</v>
      </c>
      <c r="G1033" s="6">
        <v>700</v>
      </c>
      <c r="H1033" s="6">
        <v>61000</v>
      </c>
      <c r="I1033" s="5">
        <f t="shared" si="16"/>
        <v>18300</v>
      </c>
    </row>
    <row r="1034" spans="1:9" x14ac:dyDescent="0.3">
      <c r="A1034" t="s">
        <v>46</v>
      </c>
      <c r="B1034" t="s">
        <v>20</v>
      </c>
      <c r="C1034" t="s">
        <v>10</v>
      </c>
      <c r="D1034" t="s">
        <v>15</v>
      </c>
      <c r="E1034">
        <v>81</v>
      </c>
      <c r="F1034" s="6">
        <v>4000</v>
      </c>
      <c r="G1034" s="6">
        <v>3000</v>
      </c>
      <c r="H1034" s="6">
        <v>324000</v>
      </c>
      <c r="I1034" s="5">
        <f t="shared" si="16"/>
        <v>81000</v>
      </c>
    </row>
    <row r="1035" spans="1:9" x14ac:dyDescent="0.3">
      <c r="A1035" t="s">
        <v>585</v>
      </c>
      <c r="B1035" t="s">
        <v>58</v>
      </c>
      <c r="C1035" t="s">
        <v>14</v>
      </c>
      <c r="D1035" t="s">
        <v>34</v>
      </c>
      <c r="E1035">
        <v>55</v>
      </c>
      <c r="F1035" s="6">
        <v>10000</v>
      </c>
      <c r="G1035" s="6">
        <v>7000</v>
      </c>
      <c r="H1035" s="6">
        <v>550000</v>
      </c>
      <c r="I1035" s="5">
        <f t="shared" si="16"/>
        <v>165000</v>
      </c>
    </row>
    <row r="1036" spans="1:9" x14ac:dyDescent="0.3">
      <c r="A1036" t="s">
        <v>510</v>
      </c>
      <c r="B1036" t="s">
        <v>58</v>
      </c>
      <c r="C1036" t="s">
        <v>10</v>
      </c>
      <c r="D1036" t="s">
        <v>15</v>
      </c>
      <c r="E1036">
        <v>115</v>
      </c>
      <c r="F1036" s="6">
        <v>4000</v>
      </c>
      <c r="G1036" s="6">
        <v>3000</v>
      </c>
      <c r="H1036" s="6">
        <v>460000</v>
      </c>
      <c r="I1036" s="5">
        <f t="shared" si="16"/>
        <v>115000</v>
      </c>
    </row>
    <row r="1037" spans="1:9" x14ac:dyDescent="0.3">
      <c r="A1037" t="s">
        <v>524</v>
      </c>
      <c r="B1037" t="s">
        <v>43</v>
      </c>
      <c r="C1037" t="s">
        <v>14</v>
      </c>
      <c r="D1037" t="s">
        <v>15</v>
      </c>
      <c r="E1037">
        <v>64</v>
      </c>
      <c r="F1037" s="6">
        <v>4000</v>
      </c>
      <c r="G1037" s="6">
        <v>3000</v>
      </c>
      <c r="H1037" s="6">
        <v>256000</v>
      </c>
      <c r="I1037" s="5">
        <f t="shared" si="16"/>
        <v>64000</v>
      </c>
    </row>
    <row r="1038" spans="1:9" x14ac:dyDescent="0.3">
      <c r="A1038" t="s">
        <v>388</v>
      </c>
      <c r="B1038" t="s">
        <v>13</v>
      </c>
      <c r="C1038" t="s">
        <v>26</v>
      </c>
      <c r="D1038" t="s">
        <v>31</v>
      </c>
      <c r="E1038">
        <v>145</v>
      </c>
      <c r="F1038" s="6">
        <v>1000</v>
      </c>
      <c r="G1038" s="6">
        <v>700</v>
      </c>
      <c r="H1038" s="6">
        <v>145000</v>
      </c>
      <c r="I1038" s="5">
        <f t="shared" si="16"/>
        <v>43500</v>
      </c>
    </row>
    <row r="1039" spans="1:9" x14ac:dyDescent="0.3">
      <c r="A1039" t="s">
        <v>356</v>
      </c>
      <c r="B1039" t="s">
        <v>9</v>
      </c>
      <c r="C1039" t="s">
        <v>10</v>
      </c>
      <c r="D1039" t="s">
        <v>11</v>
      </c>
      <c r="E1039">
        <v>59</v>
      </c>
      <c r="F1039" s="6">
        <v>3500</v>
      </c>
      <c r="G1039" s="6">
        <v>2500</v>
      </c>
      <c r="H1039" s="6">
        <v>206500</v>
      </c>
      <c r="I1039" s="5">
        <f t="shared" si="16"/>
        <v>59000</v>
      </c>
    </row>
    <row r="1040" spans="1:9" x14ac:dyDescent="0.3">
      <c r="A1040" t="s">
        <v>273</v>
      </c>
      <c r="B1040" t="s">
        <v>23</v>
      </c>
      <c r="C1040" t="s">
        <v>17</v>
      </c>
      <c r="D1040" t="s">
        <v>15</v>
      </c>
      <c r="E1040">
        <v>117</v>
      </c>
      <c r="F1040" s="6">
        <v>4000</v>
      </c>
      <c r="G1040" s="6">
        <v>3000</v>
      </c>
      <c r="H1040" s="6">
        <v>468000</v>
      </c>
      <c r="I1040" s="5">
        <f t="shared" si="16"/>
        <v>117000</v>
      </c>
    </row>
    <row r="1041" spans="1:9" x14ac:dyDescent="0.3">
      <c r="A1041" t="s">
        <v>139</v>
      </c>
      <c r="B1041" t="s">
        <v>36</v>
      </c>
      <c r="C1041" t="s">
        <v>17</v>
      </c>
      <c r="D1041" t="s">
        <v>34</v>
      </c>
      <c r="E1041">
        <v>80</v>
      </c>
      <c r="F1041" s="6">
        <v>10000</v>
      </c>
      <c r="G1041" s="6">
        <v>7000</v>
      </c>
      <c r="H1041" s="6">
        <v>800000</v>
      </c>
      <c r="I1041" s="5">
        <f t="shared" si="16"/>
        <v>240000</v>
      </c>
    </row>
    <row r="1042" spans="1:9" x14ac:dyDescent="0.3">
      <c r="A1042" t="s">
        <v>427</v>
      </c>
      <c r="B1042" t="s">
        <v>23</v>
      </c>
      <c r="C1042" t="s">
        <v>17</v>
      </c>
      <c r="D1042" t="s">
        <v>31</v>
      </c>
      <c r="E1042">
        <v>100</v>
      </c>
      <c r="F1042" s="6">
        <v>1000</v>
      </c>
      <c r="G1042" s="6">
        <v>700</v>
      </c>
      <c r="H1042" s="6">
        <v>100000</v>
      </c>
      <c r="I1042" s="5">
        <f t="shared" si="16"/>
        <v>30000</v>
      </c>
    </row>
    <row r="1043" spans="1:9" x14ac:dyDescent="0.3">
      <c r="A1043" t="s">
        <v>135</v>
      </c>
      <c r="B1043" t="s">
        <v>43</v>
      </c>
      <c r="C1043" t="s">
        <v>10</v>
      </c>
      <c r="D1043" t="s">
        <v>31</v>
      </c>
      <c r="E1043">
        <v>52</v>
      </c>
      <c r="F1043" s="6">
        <v>1000</v>
      </c>
      <c r="G1043" s="6">
        <v>700</v>
      </c>
      <c r="H1043" s="6">
        <v>52000</v>
      </c>
      <c r="I1043" s="5">
        <f t="shared" si="16"/>
        <v>15600</v>
      </c>
    </row>
    <row r="1044" spans="1:9" x14ac:dyDescent="0.3">
      <c r="A1044" t="s">
        <v>586</v>
      </c>
      <c r="B1044" t="s">
        <v>20</v>
      </c>
      <c r="C1044" t="s">
        <v>14</v>
      </c>
      <c r="D1044" t="s">
        <v>21</v>
      </c>
      <c r="E1044">
        <v>110</v>
      </c>
      <c r="F1044" s="6">
        <v>600</v>
      </c>
      <c r="G1044" s="6">
        <v>400</v>
      </c>
      <c r="H1044" s="6">
        <v>66000</v>
      </c>
      <c r="I1044" s="5">
        <f t="shared" si="16"/>
        <v>22000</v>
      </c>
    </row>
    <row r="1045" spans="1:9" x14ac:dyDescent="0.3">
      <c r="A1045" t="s">
        <v>587</v>
      </c>
      <c r="B1045" t="s">
        <v>20</v>
      </c>
      <c r="C1045" t="s">
        <v>14</v>
      </c>
      <c r="D1045" t="s">
        <v>18</v>
      </c>
      <c r="E1045">
        <v>86</v>
      </c>
      <c r="F1045" s="6">
        <v>6000</v>
      </c>
      <c r="G1045" s="6">
        <v>4000</v>
      </c>
      <c r="H1045" s="6">
        <v>516000</v>
      </c>
      <c r="I1045" s="5">
        <f t="shared" si="16"/>
        <v>172000</v>
      </c>
    </row>
    <row r="1046" spans="1:9" x14ac:dyDescent="0.3">
      <c r="A1046" t="s">
        <v>588</v>
      </c>
      <c r="B1046" t="s">
        <v>30</v>
      </c>
      <c r="C1046" t="s">
        <v>17</v>
      </c>
      <c r="D1046" t="s">
        <v>18</v>
      </c>
      <c r="E1046">
        <v>56</v>
      </c>
      <c r="F1046" s="6">
        <v>6000</v>
      </c>
      <c r="G1046" s="6">
        <v>4000</v>
      </c>
      <c r="H1046" s="6">
        <v>336000</v>
      </c>
      <c r="I1046" s="5">
        <f t="shared" si="16"/>
        <v>112000</v>
      </c>
    </row>
    <row r="1047" spans="1:9" x14ac:dyDescent="0.3">
      <c r="A1047" t="s">
        <v>216</v>
      </c>
      <c r="B1047" t="s">
        <v>40</v>
      </c>
      <c r="C1047" t="s">
        <v>17</v>
      </c>
      <c r="D1047" t="s">
        <v>15</v>
      </c>
      <c r="E1047">
        <v>70</v>
      </c>
      <c r="F1047" s="6">
        <v>4000</v>
      </c>
      <c r="G1047" s="6">
        <v>3000</v>
      </c>
      <c r="H1047" s="6">
        <v>280000</v>
      </c>
      <c r="I1047" s="5">
        <f t="shared" si="16"/>
        <v>70000</v>
      </c>
    </row>
    <row r="1048" spans="1:9" x14ac:dyDescent="0.3">
      <c r="A1048" t="s">
        <v>589</v>
      </c>
      <c r="B1048" t="s">
        <v>40</v>
      </c>
      <c r="C1048" t="s">
        <v>17</v>
      </c>
      <c r="D1048" t="s">
        <v>31</v>
      </c>
      <c r="E1048">
        <v>73</v>
      </c>
      <c r="F1048" s="6">
        <v>1000</v>
      </c>
      <c r="G1048" s="6">
        <v>700</v>
      </c>
      <c r="H1048" s="6">
        <v>73000</v>
      </c>
      <c r="I1048" s="5">
        <f t="shared" si="16"/>
        <v>21900</v>
      </c>
    </row>
    <row r="1049" spans="1:9" x14ac:dyDescent="0.3">
      <c r="A1049" t="s">
        <v>590</v>
      </c>
      <c r="B1049" t="s">
        <v>43</v>
      </c>
      <c r="C1049" t="s">
        <v>17</v>
      </c>
      <c r="D1049" t="s">
        <v>11</v>
      </c>
      <c r="E1049">
        <v>76</v>
      </c>
      <c r="F1049" s="6">
        <v>3500</v>
      </c>
      <c r="G1049" s="6">
        <v>2500</v>
      </c>
      <c r="H1049" s="6">
        <v>266000</v>
      </c>
      <c r="I1049" s="5">
        <f t="shared" si="16"/>
        <v>76000</v>
      </c>
    </row>
    <row r="1050" spans="1:9" x14ac:dyDescent="0.3">
      <c r="A1050" t="s">
        <v>513</v>
      </c>
      <c r="B1050" t="s">
        <v>9</v>
      </c>
      <c r="C1050" t="s">
        <v>26</v>
      </c>
      <c r="D1050" t="s">
        <v>11</v>
      </c>
      <c r="E1050">
        <v>97</v>
      </c>
      <c r="F1050" s="6">
        <v>3500</v>
      </c>
      <c r="G1050" s="6">
        <v>2500</v>
      </c>
      <c r="H1050" s="6">
        <v>339500</v>
      </c>
      <c r="I1050" s="5">
        <f t="shared" si="16"/>
        <v>97000</v>
      </c>
    </row>
    <row r="1051" spans="1:9" x14ac:dyDescent="0.3">
      <c r="A1051" t="s">
        <v>161</v>
      </c>
      <c r="B1051" t="s">
        <v>28</v>
      </c>
      <c r="C1051" t="s">
        <v>14</v>
      </c>
      <c r="D1051" t="s">
        <v>31</v>
      </c>
      <c r="E1051">
        <v>94</v>
      </c>
      <c r="F1051" s="6">
        <v>1000</v>
      </c>
      <c r="G1051" s="6">
        <v>700</v>
      </c>
      <c r="H1051" s="6">
        <v>94000</v>
      </c>
      <c r="I1051" s="5">
        <f t="shared" si="16"/>
        <v>28200</v>
      </c>
    </row>
    <row r="1052" spans="1:9" x14ac:dyDescent="0.3">
      <c r="A1052" t="s">
        <v>298</v>
      </c>
      <c r="B1052" t="s">
        <v>58</v>
      </c>
      <c r="C1052" t="s">
        <v>26</v>
      </c>
      <c r="D1052" t="s">
        <v>34</v>
      </c>
      <c r="E1052">
        <v>146</v>
      </c>
      <c r="F1052" s="6">
        <v>10000</v>
      </c>
      <c r="G1052" s="6">
        <v>7000</v>
      </c>
      <c r="H1052" s="6">
        <v>1460000</v>
      </c>
      <c r="I1052" s="5">
        <f t="shared" si="16"/>
        <v>438000</v>
      </c>
    </row>
    <row r="1053" spans="1:9" x14ac:dyDescent="0.3">
      <c r="A1053" t="s">
        <v>256</v>
      </c>
      <c r="B1053" t="s">
        <v>9</v>
      </c>
      <c r="C1053" t="s">
        <v>17</v>
      </c>
      <c r="D1053" t="s">
        <v>24</v>
      </c>
      <c r="E1053">
        <v>62</v>
      </c>
      <c r="F1053" s="6">
        <v>1200</v>
      </c>
      <c r="G1053" s="6">
        <v>800</v>
      </c>
      <c r="H1053" s="6">
        <v>74400</v>
      </c>
      <c r="I1053" s="5">
        <f t="shared" si="16"/>
        <v>24800</v>
      </c>
    </row>
    <row r="1054" spans="1:9" x14ac:dyDescent="0.3">
      <c r="A1054" t="s">
        <v>169</v>
      </c>
      <c r="B1054" t="s">
        <v>30</v>
      </c>
      <c r="C1054" t="s">
        <v>10</v>
      </c>
      <c r="D1054" t="s">
        <v>11</v>
      </c>
      <c r="E1054">
        <v>95</v>
      </c>
      <c r="F1054" s="6">
        <v>3500</v>
      </c>
      <c r="G1054" s="6">
        <v>2500</v>
      </c>
      <c r="H1054" s="6">
        <v>332500</v>
      </c>
      <c r="I1054" s="5">
        <f t="shared" si="16"/>
        <v>95000</v>
      </c>
    </row>
    <row r="1055" spans="1:9" x14ac:dyDescent="0.3">
      <c r="A1055" t="s">
        <v>425</v>
      </c>
      <c r="B1055" t="s">
        <v>20</v>
      </c>
      <c r="C1055" t="s">
        <v>17</v>
      </c>
      <c r="D1055" t="s">
        <v>24</v>
      </c>
      <c r="E1055">
        <v>136</v>
      </c>
      <c r="F1055" s="6">
        <v>1200</v>
      </c>
      <c r="G1055" s="6">
        <v>800</v>
      </c>
      <c r="H1055" s="6">
        <v>163200</v>
      </c>
      <c r="I1055" s="5">
        <f t="shared" si="16"/>
        <v>54400</v>
      </c>
    </row>
    <row r="1056" spans="1:9" x14ac:dyDescent="0.3">
      <c r="A1056" t="s">
        <v>52</v>
      </c>
      <c r="B1056" t="s">
        <v>9</v>
      </c>
      <c r="C1056" t="s">
        <v>10</v>
      </c>
      <c r="D1056" t="s">
        <v>24</v>
      </c>
      <c r="E1056">
        <v>99</v>
      </c>
      <c r="F1056" s="6">
        <v>1200</v>
      </c>
      <c r="G1056" s="6">
        <v>800</v>
      </c>
      <c r="H1056" s="6">
        <v>118800</v>
      </c>
      <c r="I1056" s="5">
        <f t="shared" si="16"/>
        <v>39600</v>
      </c>
    </row>
    <row r="1057" spans="1:9" x14ac:dyDescent="0.3">
      <c r="A1057" t="s">
        <v>435</v>
      </c>
      <c r="B1057" t="s">
        <v>23</v>
      </c>
      <c r="C1057" t="s">
        <v>17</v>
      </c>
      <c r="D1057" t="s">
        <v>18</v>
      </c>
      <c r="E1057">
        <v>94</v>
      </c>
      <c r="F1057" s="6">
        <v>6000</v>
      </c>
      <c r="G1057" s="6">
        <v>4000</v>
      </c>
      <c r="H1057" s="6">
        <v>564000</v>
      </c>
      <c r="I1057" s="5">
        <f t="shared" si="16"/>
        <v>188000</v>
      </c>
    </row>
    <row r="1058" spans="1:9" x14ac:dyDescent="0.3">
      <c r="A1058" t="s">
        <v>286</v>
      </c>
      <c r="B1058" t="s">
        <v>20</v>
      </c>
      <c r="C1058" t="s">
        <v>17</v>
      </c>
      <c r="D1058" t="s">
        <v>31</v>
      </c>
      <c r="E1058">
        <v>131</v>
      </c>
      <c r="F1058" s="6">
        <v>1000</v>
      </c>
      <c r="G1058" s="6">
        <v>700</v>
      </c>
      <c r="H1058" s="6">
        <v>131000</v>
      </c>
      <c r="I1058" s="5">
        <f t="shared" si="16"/>
        <v>39300</v>
      </c>
    </row>
    <row r="1059" spans="1:9" x14ac:dyDescent="0.3">
      <c r="A1059" t="s">
        <v>119</v>
      </c>
      <c r="B1059" t="s">
        <v>40</v>
      </c>
      <c r="C1059" t="s">
        <v>26</v>
      </c>
      <c r="D1059" t="s">
        <v>31</v>
      </c>
      <c r="E1059">
        <v>117</v>
      </c>
      <c r="F1059" s="6">
        <v>1000</v>
      </c>
      <c r="G1059" s="6">
        <v>700</v>
      </c>
      <c r="H1059" s="6">
        <v>117000</v>
      </c>
      <c r="I1059" s="5">
        <f t="shared" si="16"/>
        <v>35100</v>
      </c>
    </row>
    <row r="1060" spans="1:9" x14ac:dyDescent="0.3">
      <c r="A1060" t="s">
        <v>92</v>
      </c>
      <c r="B1060" t="s">
        <v>28</v>
      </c>
      <c r="C1060" t="s">
        <v>17</v>
      </c>
      <c r="D1060" t="s">
        <v>34</v>
      </c>
      <c r="E1060">
        <v>142</v>
      </c>
      <c r="F1060" s="6">
        <v>10000</v>
      </c>
      <c r="G1060" s="6">
        <v>7000</v>
      </c>
      <c r="H1060" s="6">
        <v>1420000</v>
      </c>
      <c r="I1060" s="5">
        <f t="shared" si="16"/>
        <v>426000</v>
      </c>
    </row>
    <row r="1061" spans="1:9" x14ac:dyDescent="0.3">
      <c r="A1061" t="s">
        <v>151</v>
      </c>
      <c r="B1061" t="s">
        <v>36</v>
      </c>
      <c r="C1061" t="s">
        <v>17</v>
      </c>
      <c r="D1061" t="s">
        <v>18</v>
      </c>
      <c r="E1061">
        <v>121</v>
      </c>
      <c r="F1061" s="6">
        <v>6000</v>
      </c>
      <c r="G1061" s="6">
        <v>4000</v>
      </c>
      <c r="H1061" s="6">
        <v>726000</v>
      </c>
      <c r="I1061" s="5">
        <f t="shared" si="16"/>
        <v>242000</v>
      </c>
    </row>
    <row r="1062" spans="1:9" x14ac:dyDescent="0.3">
      <c r="A1062" t="s">
        <v>71</v>
      </c>
      <c r="B1062" t="s">
        <v>58</v>
      </c>
      <c r="C1062" t="s">
        <v>10</v>
      </c>
      <c r="D1062" t="s">
        <v>11</v>
      </c>
      <c r="E1062">
        <v>76</v>
      </c>
      <c r="F1062" s="6">
        <v>3500</v>
      </c>
      <c r="G1062" s="6">
        <v>2500</v>
      </c>
      <c r="H1062" s="6">
        <v>266000</v>
      </c>
      <c r="I1062" s="5">
        <f t="shared" si="16"/>
        <v>76000</v>
      </c>
    </row>
    <row r="1063" spans="1:9" x14ac:dyDescent="0.3">
      <c r="A1063" t="s">
        <v>220</v>
      </c>
      <c r="B1063" t="s">
        <v>20</v>
      </c>
      <c r="C1063" t="s">
        <v>14</v>
      </c>
      <c r="D1063" t="s">
        <v>34</v>
      </c>
      <c r="E1063">
        <v>132</v>
      </c>
      <c r="F1063" s="6">
        <v>10000</v>
      </c>
      <c r="G1063" s="6">
        <v>7000</v>
      </c>
      <c r="H1063" s="6">
        <v>1320000</v>
      </c>
      <c r="I1063" s="5">
        <f t="shared" si="16"/>
        <v>396000</v>
      </c>
    </row>
    <row r="1064" spans="1:9" x14ac:dyDescent="0.3">
      <c r="A1064" t="s">
        <v>105</v>
      </c>
      <c r="B1064" t="s">
        <v>23</v>
      </c>
      <c r="C1064" t="s">
        <v>14</v>
      </c>
      <c r="D1064" t="s">
        <v>15</v>
      </c>
      <c r="E1064">
        <v>132</v>
      </c>
      <c r="F1064" s="6">
        <v>4000</v>
      </c>
      <c r="G1064" s="6">
        <v>3000</v>
      </c>
      <c r="H1064" s="6">
        <v>528000</v>
      </c>
      <c r="I1064" s="5">
        <f t="shared" si="16"/>
        <v>132000</v>
      </c>
    </row>
    <row r="1065" spans="1:9" x14ac:dyDescent="0.3">
      <c r="A1065" t="s">
        <v>570</v>
      </c>
      <c r="B1065" t="s">
        <v>36</v>
      </c>
      <c r="C1065" t="s">
        <v>10</v>
      </c>
      <c r="D1065" t="s">
        <v>34</v>
      </c>
      <c r="E1065">
        <v>139</v>
      </c>
      <c r="F1065" s="6">
        <v>10000</v>
      </c>
      <c r="G1065" s="6">
        <v>7000</v>
      </c>
      <c r="H1065" s="6">
        <v>1390000</v>
      </c>
      <c r="I1065" s="5">
        <f t="shared" si="16"/>
        <v>417000</v>
      </c>
    </row>
    <row r="1066" spans="1:9" x14ac:dyDescent="0.3">
      <c r="A1066" t="s">
        <v>74</v>
      </c>
      <c r="B1066" t="s">
        <v>43</v>
      </c>
      <c r="C1066" t="s">
        <v>17</v>
      </c>
      <c r="D1066" t="s">
        <v>21</v>
      </c>
      <c r="E1066">
        <v>88</v>
      </c>
      <c r="F1066" s="6">
        <v>600</v>
      </c>
      <c r="G1066" s="6">
        <v>400</v>
      </c>
      <c r="H1066" s="6">
        <v>52800</v>
      </c>
      <c r="I1066" s="5">
        <f t="shared" si="16"/>
        <v>17600</v>
      </c>
    </row>
    <row r="1067" spans="1:9" x14ac:dyDescent="0.3">
      <c r="A1067" t="s">
        <v>591</v>
      </c>
      <c r="B1067" t="s">
        <v>58</v>
      </c>
      <c r="C1067" t="s">
        <v>14</v>
      </c>
      <c r="D1067" t="s">
        <v>11</v>
      </c>
      <c r="E1067">
        <v>124</v>
      </c>
      <c r="F1067" s="6">
        <v>3500</v>
      </c>
      <c r="G1067" s="6">
        <v>2500</v>
      </c>
      <c r="H1067" s="6">
        <v>434000</v>
      </c>
      <c r="I1067" s="5">
        <f t="shared" si="16"/>
        <v>124000</v>
      </c>
    </row>
    <row r="1068" spans="1:9" x14ac:dyDescent="0.3">
      <c r="A1068" t="s">
        <v>85</v>
      </c>
      <c r="B1068" t="s">
        <v>13</v>
      </c>
      <c r="C1068" t="s">
        <v>14</v>
      </c>
      <c r="D1068" t="s">
        <v>11</v>
      </c>
      <c r="E1068">
        <v>84</v>
      </c>
      <c r="F1068" s="6">
        <v>3500</v>
      </c>
      <c r="G1068" s="6">
        <v>2500</v>
      </c>
      <c r="H1068" s="6">
        <v>294000</v>
      </c>
      <c r="I1068" s="5">
        <f t="shared" si="16"/>
        <v>84000</v>
      </c>
    </row>
    <row r="1069" spans="1:9" x14ac:dyDescent="0.3">
      <c r="A1069" t="s">
        <v>339</v>
      </c>
      <c r="B1069" t="s">
        <v>9</v>
      </c>
      <c r="C1069" t="s">
        <v>26</v>
      </c>
      <c r="D1069" t="s">
        <v>15</v>
      </c>
      <c r="E1069">
        <v>114</v>
      </c>
      <c r="F1069" s="6">
        <v>4000</v>
      </c>
      <c r="G1069" s="6">
        <v>3000</v>
      </c>
      <c r="H1069" s="6">
        <v>456000</v>
      </c>
      <c r="I1069" s="5">
        <f t="shared" si="16"/>
        <v>114000</v>
      </c>
    </row>
    <row r="1070" spans="1:9" x14ac:dyDescent="0.3">
      <c r="A1070" t="s">
        <v>592</v>
      </c>
      <c r="B1070" t="s">
        <v>23</v>
      </c>
      <c r="C1070" t="s">
        <v>26</v>
      </c>
      <c r="D1070" t="s">
        <v>15</v>
      </c>
      <c r="E1070">
        <v>112</v>
      </c>
      <c r="F1070" s="6">
        <v>4000</v>
      </c>
      <c r="G1070" s="6">
        <v>3000</v>
      </c>
      <c r="H1070" s="6">
        <v>448000</v>
      </c>
      <c r="I1070" s="5">
        <f t="shared" si="16"/>
        <v>112000</v>
      </c>
    </row>
    <row r="1071" spans="1:9" x14ac:dyDescent="0.3">
      <c r="A1071" t="s">
        <v>593</v>
      </c>
      <c r="B1071" t="s">
        <v>28</v>
      </c>
      <c r="C1071" t="s">
        <v>17</v>
      </c>
      <c r="D1071" t="s">
        <v>21</v>
      </c>
      <c r="E1071">
        <v>134</v>
      </c>
      <c r="F1071" s="6">
        <v>600</v>
      </c>
      <c r="G1071" s="6">
        <v>400</v>
      </c>
      <c r="H1071" s="6">
        <v>80400</v>
      </c>
      <c r="I1071" s="5">
        <f t="shared" si="16"/>
        <v>26800</v>
      </c>
    </row>
    <row r="1072" spans="1:9" x14ac:dyDescent="0.3">
      <c r="A1072" t="s">
        <v>278</v>
      </c>
      <c r="B1072" t="s">
        <v>9</v>
      </c>
      <c r="C1072" t="s">
        <v>26</v>
      </c>
      <c r="D1072" t="s">
        <v>15</v>
      </c>
      <c r="E1072">
        <v>131</v>
      </c>
      <c r="F1072" s="6">
        <v>4000</v>
      </c>
      <c r="G1072" s="6">
        <v>3000</v>
      </c>
      <c r="H1072" s="6">
        <v>524000</v>
      </c>
      <c r="I1072" s="5">
        <f t="shared" si="16"/>
        <v>131000</v>
      </c>
    </row>
    <row r="1073" spans="1:9" x14ac:dyDescent="0.3">
      <c r="A1073" t="s">
        <v>594</v>
      </c>
      <c r="B1073" t="s">
        <v>20</v>
      </c>
      <c r="C1073" t="s">
        <v>26</v>
      </c>
      <c r="D1073" t="s">
        <v>34</v>
      </c>
      <c r="E1073">
        <v>119</v>
      </c>
      <c r="F1073" s="6">
        <v>10000</v>
      </c>
      <c r="G1073" s="6">
        <v>7000</v>
      </c>
      <c r="H1073" s="6">
        <v>1190000</v>
      </c>
      <c r="I1073" s="5">
        <f t="shared" si="16"/>
        <v>357000</v>
      </c>
    </row>
    <row r="1074" spans="1:9" x14ac:dyDescent="0.3">
      <c r="A1074" t="s">
        <v>417</v>
      </c>
      <c r="B1074" t="s">
        <v>28</v>
      </c>
      <c r="C1074" t="s">
        <v>17</v>
      </c>
      <c r="D1074" t="s">
        <v>11</v>
      </c>
      <c r="E1074">
        <v>89</v>
      </c>
      <c r="F1074" s="6">
        <v>3500</v>
      </c>
      <c r="G1074" s="6">
        <v>2500</v>
      </c>
      <c r="H1074" s="6">
        <v>311500</v>
      </c>
      <c r="I1074" s="5">
        <f t="shared" si="16"/>
        <v>89000</v>
      </c>
    </row>
    <row r="1075" spans="1:9" x14ac:dyDescent="0.3">
      <c r="A1075" t="s">
        <v>292</v>
      </c>
      <c r="B1075" t="s">
        <v>23</v>
      </c>
      <c r="C1075" t="s">
        <v>14</v>
      </c>
      <c r="D1075" t="s">
        <v>11</v>
      </c>
      <c r="E1075">
        <v>79</v>
      </c>
      <c r="F1075" s="6">
        <v>3500</v>
      </c>
      <c r="G1075" s="6">
        <v>2500</v>
      </c>
      <c r="H1075" s="6">
        <v>276500</v>
      </c>
      <c r="I1075" s="5">
        <f t="shared" si="16"/>
        <v>79000</v>
      </c>
    </row>
    <row r="1076" spans="1:9" x14ac:dyDescent="0.3">
      <c r="A1076" t="s">
        <v>595</v>
      </c>
      <c r="B1076" t="s">
        <v>30</v>
      </c>
      <c r="C1076" t="s">
        <v>14</v>
      </c>
      <c r="D1076" t="s">
        <v>31</v>
      </c>
      <c r="E1076">
        <v>92</v>
      </c>
      <c r="F1076" s="6">
        <v>1000</v>
      </c>
      <c r="G1076" s="6">
        <v>700</v>
      </c>
      <c r="H1076" s="6">
        <v>92000</v>
      </c>
      <c r="I1076" s="5">
        <f t="shared" si="16"/>
        <v>27600</v>
      </c>
    </row>
    <row r="1077" spans="1:9" x14ac:dyDescent="0.3">
      <c r="A1077" t="s">
        <v>523</v>
      </c>
      <c r="B1077" t="s">
        <v>28</v>
      </c>
      <c r="C1077" t="s">
        <v>10</v>
      </c>
      <c r="D1077" t="s">
        <v>11</v>
      </c>
      <c r="E1077">
        <v>103</v>
      </c>
      <c r="F1077" s="6">
        <v>3500</v>
      </c>
      <c r="G1077" s="6">
        <v>2500</v>
      </c>
      <c r="H1077" s="6">
        <v>360500</v>
      </c>
      <c r="I1077" s="5">
        <f t="shared" si="16"/>
        <v>103000</v>
      </c>
    </row>
    <row r="1078" spans="1:9" x14ac:dyDescent="0.3">
      <c r="A1078" t="s">
        <v>577</v>
      </c>
      <c r="B1078" t="s">
        <v>9</v>
      </c>
      <c r="C1078" t="s">
        <v>10</v>
      </c>
      <c r="D1078" t="s">
        <v>24</v>
      </c>
      <c r="E1078">
        <v>133</v>
      </c>
      <c r="F1078" s="6">
        <v>1200</v>
      </c>
      <c r="G1078" s="6">
        <v>800</v>
      </c>
      <c r="H1078" s="6">
        <v>159600</v>
      </c>
      <c r="I1078" s="5">
        <f t="shared" si="16"/>
        <v>53200</v>
      </c>
    </row>
    <row r="1079" spans="1:9" x14ac:dyDescent="0.3">
      <c r="A1079" t="s">
        <v>309</v>
      </c>
      <c r="B1079" t="s">
        <v>23</v>
      </c>
      <c r="C1079" t="s">
        <v>17</v>
      </c>
      <c r="D1079" t="s">
        <v>18</v>
      </c>
      <c r="E1079">
        <v>72</v>
      </c>
      <c r="F1079" s="6">
        <v>6000</v>
      </c>
      <c r="G1079" s="6">
        <v>4000</v>
      </c>
      <c r="H1079" s="6">
        <v>432000</v>
      </c>
      <c r="I1079" s="5">
        <f t="shared" si="16"/>
        <v>144000</v>
      </c>
    </row>
    <row r="1080" spans="1:9" x14ac:dyDescent="0.3">
      <c r="A1080" t="s">
        <v>596</v>
      </c>
      <c r="B1080" t="s">
        <v>28</v>
      </c>
      <c r="C1080" t="s">
        <v>17</v>
      </c>
      <c r="D1080" t="s">
        <v>31</v>
      </c>
      <c r="E1080">
        <v>92</v>
      </c>
      <c r="F1080" s="6">
        <v>1000</v>
      </c>
      <c r="G1080" s="6">
        <v>700</v>
      </c>
      <c r="H1080" s="6">
        <v>92000</v>
      </c>
      <c r="I1080" s="5">
        <f t="shared" si="16"/>
        <v>27600</v>
      </c>
    </row>
    <row r="1081" spans="1:9" x14ac:dyDescent="0.3">
      <c r="A1081" t="s">
        <v>553</v>
      </c>
      <c r="B1081" t="s">
        <v>23</v>
      </c>
      <c r="C1081" t="s">
        <v>10</v>
      </c>
      <c r="D1081" t="s">
        <v>15</v>
      </c>
      <c r="E1081">
        <v>115</v>
      </c>
      <c r="F1081" s="6">
        <v>4000</v>
      </c>
      <c r="G1081" s="6">
        <v>3000</v>
      </c>
      <c r="H1081" s="6">
        <v>460000</v>
      </c>
      <c r="I1081" s="5">
        <f t="shared" si="16"/>
        <v>115000</v>
      </c>
    </row>
    <row r="1082" spans="1:9" x14ac:dyDescent="0.3">
      <c r="A1082" t="s">
        <v>125</v>
      </c>
      <c r="B1082" t="s">
        <v>9</v>
      </c>
      <c r="C1082" t="s">
        <v>14</v>
      </c>
      <c r="D1082" t="s">
        <v>15</v>
      </c>
      <c r="E1082">
        <v>110</v>
      </c>
      <c r="F1082" s="6">
        <v>4000</v>
      </c>
      <c r="G1082" s="6">
        <v>3000</v>
      </c>
      <c r="H1082" s="6">
        <v>440000</v>
      </c>
      <c r="I1082" s="5">
        <f t="shared" si="16"/>
        <v>110000</v>
      </c>
    </row>
    <row r="1083" spans="1:9" x14ac:dyDescent="0.3">
      <c r="A1083" t="s">
        <v>201</v>
      </c>
      <c r="B1083" t="s">
        <v>58</v>
      </c>
      <c r="C1083" t="s">
        <v>14</v>
      </c>
      <c r="D1083" t="s">
        <v>24</v>
      </c>
      <c r="E1083">
        <v>125</v>
      </c>
      <c r="F1083" s="6">
        <v>1200</v>
      </c>
      <c r="G1083" s="6">
        <v>800</v>
      </c>
      <c r="H1083" s="6">
        <v>150000</v>
      </c>
      <c r="I1083" s="5">
        <f t="shared" si="16"/>
        <v>50000</v>
      </c>
    </row>
    <row r="1084" spans="1:9" x14ac:dyDescent="0.3">
      <c r="A1084" t="s">
        <v>270</v>
      </c>
      <c r="B1084" t="s">
        <v>30</v>
      </c>
      <c r="C1084" t="s">
        <v>26</v>
      </c>
      <c r="D1084" t="s">
        <v>24</v>
      </c>
      <c r="E1084">
        <v>54</v>
      </c>
      <c r="F1084" s="6">
        <v>1200</v>
      </c>
      <c r="G1084" s="6">
        <v>800</v>
      </c>
      <c r="H1084" s="6">
        <v>64800</v>
      </c>
      <c r="I1084" s="5">
        <f t="shared" si="16"/>
        <v>21600</v>
      </c>
    </row>
    <row r="1085" spans="1:9" x14ac:dyDescent="0.3">
      <c r="A1085" t="s">
        <v>150</v>
      </c>
      <c r="B1085" t="s">
        <v>23</v>
      </c>
      <c r="C1085" t="s">
        <v>10</v>
      </c>
      <c r="D1085" t="s">
        <v>15</v>
      </c>
      <c r="E1085">
        <v>100</v>
      </c>
      <c r="F1085" s="6">
        <v>4000</v>
      </c>
      <c r="G1085" s="6">
        <v>3000</v>
      </c>
      <c r="H1085" s="6">
        <v>400000</v>
      </c>
      <c r="I1085" s="5">
        <f t="shared" si="16"/>
        <v>100000</v>
      </c>
    </row>
    <row r="1086" spans="1:9" x14ac:dyDescent="0.3">
      <c r="A1086" t="s">
        <v>597</v>
      </c>
      <c r="B1086" t="s">
        <v>9</v>
      </c>
      <c r="C1086" t="s">
        <v>14</v>
      </c>
      <c r="D1086" t="s">
        <v>34</v>
      </c>
      <c r="E1086">
        <v>132</v>
      </c>
      <c r="F1086" s="6">
        <v>10000</v>
      </c>
      <c r="G1086" s="6">
        <v>7000</v>
      </c>
      <c r="H1086" s="6">
        <v>1320000</v>
      </c>
      <c r="I1086" s="5">
        <f t="shared" si="16"/>
        <v>396000</v>
      </c>
    </row>
    <row r="1087" spans="1:9" x14ac:dyDescent="0.3">
      <c r="A1087" t="s">
        <v>567</v>
      </c>
      <c r="B1087" t="s">
        <v>13</v>
      </c>
      <c r="C1087" t="s">
        <v>26</v>
      </c>
      <c r="D1087" t="s">
        <v>15</v>
      </c>
      <c r="E1087">
        <v>118</v>
      </c>
      <c r="F1087" s="6">
        <v>4000</v>
      </c>
      <c r="G1087" s="6">
        <v>3000</v>
      </c>
      <c r="H1087" s="6">
        <v>472000</v>
      </c>
      <c r="I1087" s="5">
        <f t="shared" si="16"/>
        <v>118000</v>
      </c>
    </row>
    <row r="1088" spans="1:9" x14ac:dyDescent="0.3">
      <c r="A1088" t="s">
        <v>367</v>
      </c>
      <c r="B1088" t="s">
        <v>13</v>
      </c>
      <c r="C1088" t="s">
        <v>10</v>
      </c>
      <c r="D1088" t="s">
        <v>15</v>
      </c>
      <c r="E1088">
        <v>52</v>
      </c>
      <c r="F1088" s="6">
        <v>4000</v>
      </c>
      <c r="G1088" s="6">
        <v>3000</v>
      </c>
      <c r="H1088" s="6">
        <v>208000</v>
      </c>
      <c r="I1088" s="5">
        <f t="shared" si="16"/>
        <v>52000</v>
      </c>
    </row>
    <row r="1089" spans="1:9" x14ac:dyDescent="0.3">
      <c r="A1089" t="s">
        <v>340</v>
      </c>
      <c r="B1089" t="s">
        <v>36</v>
      </c>
      <c r="C1089" t="s">
        <v>26</v>
      </c>
      <c r="D1089" t="s">
        <v>31</v>
      </c>
      <c r="E1089">
        <v>114</v>
      </c>
      <c r="F1089" s="6">
        <v>1000</v>
      </c>
      <c r="G1089" s="6">
        <v>700</v>
      </c>
      <c r="H1089" s="6">
        <v>114000</v>
      </c>
      <c r="I1089" s="5">
        <f t="shared" si="16"/>
        <v>34200</v>
      </c>
    </row>
    <row r="1090" spans="1:9" x14ac:dyDescent="0.3">
      <c r="A1090" t="s">
        <v>598</v>
      </c>
      <c r="B1090" t="s">
        <v>28</v>
      </c>
      <c r="C1090" t="s">
        <v>10</v>
      </c>
      <c r="D1090" t="s">
        <v>15</v>
      </c>
      <c r="E1090">
        <v>131</v>
      </c>
      <c r="F1090" s="6">
        <v>4000</v>
      </c>
      <c r="G1090" s="6">
        <v>3000</v>
      </c>
      <c r="H1090" s="6">
        <v>524000</v>
      </c>
      <c r="I1090" s="5">
        <f t="shared" ref="I1090:I1153" si="17">H1090-(G1090*E1090)</f>
        <v>131000</v>
      </c>
    </row>
    <row r="1091" spans="1:9" x14ac:dyDescent="0.3">
      <c r="A1091" t="s">
        <v>336</v>
      </c>
      <c r="B1091" t="s">
        <v>36</v>
      </c>
      <c r="C1091" t="s">
        <v>17</v>
      </c>
      <c r="D1091" t="s">
        <v>18</v>
      </c>
      <c r="E1091">
        <v>106</v>
      </c>
      <c r="F1091" s="6">
        <v>6000</v>
      </c>
      <c r="G1091" s="6">
        <v>4000</v>
      </c>
      <c r="H1091" s="6">
        <v>636000</v>
      </c>
      <c r="I1091" s="5">
        <f t="shared" si="17"/>
        <v>212000</v>
      </c>
    </row>
    <row r="1092" spans="1:9" x14ac:dyDescent="0.3">
      <c r="A1092" t="s">
        <v>214</v>
      </c>
      <c r="B1092" t="s">
        <v>40</v>
      </c>
      <c r="C1092" t="s">
        <v>17</v>
      </c>
      <c r="D1092" t="s">
        <v>11</v>
      </c>
      <c r="E1092">
        <v>59</v>
      </c>
      <c r="F1092" s="6">
        <v>3500</v>
      </c>
      <c r="G1092" s="6">
        <v>2500</v>
      </c>
      <c r="H1092" s="6">
        <v>206500</v>
      </c>
      <c r="I1092" s="5">
        <f t="shared" si="17"/>
        <v>59000</v>
      </c>
    </row>
    <row r="1093" spans="1:9" x14ac:dyDescent="0.3">
      <c r="A1093" t="s">
        <v>362</v>
      </c>
      <c r="B1093" t="s">
        <v>40</v>
      </c>
      <c r="C1093" t="s">
        <v>26</v>
      </c>
      <c r="D1093" t="s">
        <v>18</v>
      </c>
      <c r="E1093">
        <v>84</v>
      </c>
      <c r="F1093" s="6">
        <v>6000</v>
      </c>
      <c r="G1093" s="6">
        <v>4000</v>
      </c>
      <c r="H1093" s="6">
        <v>504000</v>
      </c>
      <c r="I1093" s="5">
        <f t="shared" si="17"/>
        <v>168000</v>
      </c>
    </row>
    <row r="1094" spans="1:9" x14ac:dyDescent="0.3">
      <c r="A1094" t="s">
        <v>85</v>
      </c>
      <c r="B1094" t="s">
        <v>9</v>
      </c>
      <c r="C1094" t="s">
        <v>26</v>
      </c>
      <c r="D1094" t="s">
        <v>31</v>
      </c>
      <c r="E1094">
        <v>139</v>
      </c>
      <c r="F1094" s="6">
        <v>1000</v>
      </c>
      <c r="G1094" s="6">
        <v>700</v>
      </c>
      <c r="H1094" s="6">
        <v>139000</v>
      </c>
      <c r="I1094" s="5">
        <f t="shared" si="17"/>
        <v>41700</v>
      </c>
    </row>
    <row r="1095" spans="1:9" x14ac:dyDescent="0.3">
      <c r="A1095" t="s">
        <v>599</v>
      </c>
      <c r="B1095" t="s">
        <v>23</v>
      </c>
      <c r="C1095" t="s">
        <v>10</v>
      </c>
      <c r="D1095" t="s">
        <v>34</v>
      </c>
      <c r="E1095">
        <v>148</v>
      </c>
      <c r="F1095" s="6">
        <v>10000</v>
      </c>
      <c r="G1095" s="6">
        <v>7000</v>
      </c>
      <c r="H1095" s="6">
        <v>1480000</v>
      </c>
      <c r="I1095" s="5">
        <f t="shared" si="17"/>
        <v>444000</v>
      </c>
    </row>
    <row r="1096" spans="1:9" x14ac:dyDescent="0.3">
      <c r="A1096" t="s">
        <v>600</v>
      </c>
      <c r="B1096" t="s">
        <v>30</v>
      </c>
      <c r="C1096" t="s">
        <v>10</v>
      </c>
      <c r="D1096" t="s">
        <v>15</v>
      </c>
      <c r="E1096">
        <v>133</v>
      </c>
      <c r="F1096" s="6">
        <v>4000</v>
      </c>
      <c r="G1096" s="6">
        <v>3000</v>
      </c>
      <c r="H1096" s="6">
        <v>532000</v>
      </c>
      <c r="I1096" s="5">
        <f t="shared" si="17"/>
        <v>133000</v>
      </c>
    </row>
    <row r="1097" spans="1:9" x14ac:dyDescent="0.3">
      <c r="A1097" t="s">
        <v>233</v>
      </c>
      <c r="B1097" t="s">
        <v>30</v>
      </c>
      <c r="C1097" t="s">
        <v>26</v>
      </c>
      <c r="D1097" t="s">
        <v>24</v>
      </c>
      <c r="E1097">
        <v>103</v>
      </c>
      <c r="F1097" s="6">
        <v>1200</v>
      </c>
      <c r="G1097" s="6">
        <v>800</v>
      </c>
      <c r="H1097" s="6">
        <v>123600</v>
      </c>
      <c r="I1097" s="5">
        <f t="shared" si="17"/>
        <v>41200</v>
      </c>
    </row>
    <row r="1098" spans="1:9" x14ac:dyDescent="0.3">
      <c r="A1098" t="s">
        <v>575</v>
      </c>
      <c r="B1098" t="s">
        <v>36</v>
      </c>
      <c r="C1098" t="s">
        <v>17</v>
      </c>
      <c r="D1098" t="s">
        <v>21</v>
      </c>
      <c r="E1098">
        <v>109</v>
      </c>
      <c r="F1098" s="6">
        <v>600</v>
      </c>
      <c r="G1098" s="6">
        <v>400</v>
      </c>
      <c r="H1098" s="6">
        <v>65400</v>
      </c>
      <c r="I1098" s="5">
        <f t="shared" si="17"/>
        <v>21800</v>
      </c>
    </row>
    <row r="1099" spans="1:9" x14ac:dyDescent="0.3">
      <c r="A1099" t="s">
        <v>357</v>
      </c>
      <c r="B1099" t="s">
        <v>23</v>
      </c>
      <c r="C1099" t="s">
        <v>14</v>
      </c>
      <c r="D1099" t="s">
        <v>21</v>
      </c>
      <c r="E1099">
        <v>108</v>
      </c>
      <c r="F1099" s="6">
        <v>600</v>
      </c>
      <c r="G1099" s="6">
        <v>400</v>
      </c>
      <c r="H1099" s="6">
        <v>64800</v>
      </c>
      <c r="I1099" s="5">
        <f t="shared" si="17"/>
        <v>21600</v>
      </c>
    </row>
    <row r="1100" spans="1:9" x14ac:dyDescent="0.3">
      <c r="A1100" t="s">
        <v>403</v>
      </c>
      <c r="B1100" t="s">
        <v>13</v>
      </c>
      <c r="C1100" t="s">
        <v>26</v>
      </c>
      <c r="D1100" t="s">
        <v>21</v>
      </c>
      <c r="E1100">
        <v>90</v>
      </c>
      <c r="F1100" s="6">
        <v>600</v>
      </c>
      <c r="G1100" s="6">
        <v>400</v>
      </c>
      <c r="H1100" s="6">
        <v>54000</v>
      </c>
      <c r="I1100" s="5">
        <f t="shared" si="17"/>
        <v>18000</v>
      </c>
    </row>
    <row r="1101" spans="1:9" x14ac:dyDescent="0.3">
      <c r="A1101" t="s">
        <v>540</v>
      </c>
      <c r="B1101" t="s">
        <v>43</v>
      </c>
      <c r="C1101" t="s">
        <v>17</v>
      </c>
      <c r="D1101" t="s">
        <v>15</v>
      </c>
      <c r="E1101">
        <v>78</v>
      </c>
      <c r="F1101" s="6">
        <v>4000</v>
      </c>
      <c r="G1101" s="6">
        <v>3000</v>
      </c>
      <c r="H1101" s="6">
        <v>312000</v>
      </c>
      <c r="I1101" s="5">
        <f t="shared" si="17"/>
        <v>78000</v>
      </c>
    </row>
    <row r="1102" spans="1:9" x14ac:dyDescent="0.3">
      <c r="A1102" t="s">
        <v>495</v>
      </c>
      <c r="B1102" t="s">
        <v>13</v>
      </c>
      <c r="C1102" t="s">
        <v>26</v>
      </c>
      <c r="D1102" t="s">
        <v>18</v>
      </c>
      <c r="E1102">
        <v>74</v>
      </c>
      <c r="F1102" s="6">
        <v>6000</v>
      </c>
      <c r="G1102" s="6">
        <v>4000</v>
      </c>
      <c r="H1102" s="6">
        <v>444000</v>
      </c>
      <c r="I1102" s="5">
        <f t="shared" si="17"/>
        <v>148000</v>
      </c>
    </row>
    <row r="1103" spans="1:9" x14ac:dyDescent="0.3">
      <c r="A1103" t="s">
        <v>413</v>
      </c>
      <c r="B1103" t="s">
        <v>13</v>
      </c>
      <c r="C1103" t="s">
        <v>14</v>
      </c>
      <c r="D1103" t="s">
        <v>18</v>
      </c>
      <c r="E1103">
        <v>104</v>
      </c>
      <c r="F1103" s="6">
        <v>6000</v>
      </c>
      <c r="G1103" s="6">
        <v>4000</v>
      </c>
      <c r="H1103" s="6">
        <v>624000</v>
      </c>
      <c r="I1103" s="5">
        <f t="shared" si="17"/>
        <v>208000</v>
      </c>
    </row>
    <row r="1104" spans="1:9" x14ac:dyDescent="0.3">
      <c r="A1104" t="s">
        <v>55</v>
      </c>
      <c r="B1104" t="s">
        <v>36</v>
      </c>
      <c r="C1104" t="s">
        <v>17</v>
      </c>
      <c r="D1104" t="s">
        <v>31</v>
      </c>
      <c r="E1104">
        <v>59</v>
      </c>
      <c r="F1104" s="6">
        <v>1000</v>
      </c>
      <c r="G1104" s="6">
        <v>700</v>
      </c>
      <c r="H1104" s="6">
        <v>59000</v>
      </c>
      <c r="I1104" s="5">
        <f t="shared" si="17"/>
        <v>17700</v>
      </c>
    </row>
    <row r="1105" spans="1:9" x14ac:dyDescent="0.3">
      <c r="A1105" t="s">
        <v>29</v>
      </c>
      <c r="B1105" t="s">
        <v>43</v>
      </c>
      <c r="C1105" t="s">
        <v>17</v>
      </c>
      <c r="D1105" t="s">
        <v>15</v>
      </c>
      <c r="E1105">
        <v>72</v>
      </c>
      <c r="F1105" s="6">
        <v>4000</v>
      </c>
      <c r="G1105" s="6">
        <v>3000</v>
      </c>
      <c r="H1105" s="6">
        <v>288000</v>
      </c>
      <c r="I1105" s="5">
        <f t="shared" si="17"/>
        <v>72000</v>
      </c>
    </row>
    <row r="1106" spans="1:9" x14ac:dyDescent="0.3">
      <c r="A1106" t="s">
        <v>248</v>
      </c>
      <c r="B1106" t="s">
        <v>23</v>
      </c>
      <c r="C1106" t="s">
        <v>14</v>
      </c>
      <c r="D1106" t="s">
        <v>18</v>
      </c>
      <c r="E1106">
        <v>53</v>
      </c>
      <c r="F1106" s="6">
        <v>6000</v>
      </c>
      <c r="G1106" s="6">
        <v>4000</v>
      </c>
      <c r="H1106" s="6">
        <v>318000</v>
      </c>
      <c r="I1106" s="5">
        <f t="shared" si="17"/>
        <v>106000</v>
      </c>
    </row>
    <row r="1107" spans="1:9" x14ac:dyDescent="0.3">
      <c r="A1107" t="s">
        <v>319</v>
      </c>
      <c r="B1107" t="s">
        <v>36</v>
      </c>
      <c r="C1107" t="s">
        <v>10</v>
      </c>
      <c r="D1107" t="s">
        <v>31</v>
      </c>
      <c r="E1107">
        <v>55</v>
      </c>
      <c r="F1107" s="6">
        <v>1000</v>
      </c>
      <c r="G1107" s="6">
        <v>700</v>
      </c>
      <c r="H1107" s="6">
        <v>55000</v>
      </c>
      <c r="I1107" s="5">
        <f t="shared" si="17"/>
        <v>16500</v>
      </c>
    </row>
    <row r="1108" spans="1:9" x14ac:dyDescent="0.3">
      <c r="A1108" t="s">
        <v>508</v>
      </c>
      <c r="B1108" t="s">
        <v>58</v>
      </c>
      <c r="C1108" t="s">
        <v>17</v>
      </c>
      <c r="D1108" t="s">
        <v>21</v>
      </c>
      <c r="E1108">
        <v>50</v>
      </c>
      <c r="F1108" s="6">
        <v>600</v>
      </c>
      <c r="G1108" s="6">
        <v>400</v>
      </c>
      <c r="H1108" s="6">
        <v>30000</v>
      </c>
      <c r="I1108" s="5">
        <f t="shared" si="17"/>
        <v>10000</v>
      </c>
    </row>
    <row r="1109" spans="1:9" x14ac:dyDescent="0.3">
      <c r="A1109" t="s">
        <v>601</v>
      </c>
      <c r="B1109" t="s">
        <v>58</v>
      </c>
      <c r="C1109" t="s">
        <v>26</v>
      </c>
      <c r="D1109" t="s">
        <v>21</v>
      </c>
      <c r="E1109">
        <v>74</v>
      </c>
      <c r="F1109" s="6">
        <v>600</v>
      </c>
      <c r="G1109" s="6">
        <v>400</v>
      </c>
      <c r="H1109" s="6">
        <v>44400</v>
      </c>
      <c r="I1109" s="5">
        <f t="shared" si="17"/>
        <v>14800</v>
      </c>
    </row>
    <row r="1110" spans="1:9" x14ac:dyDescent="0.3">
      <c r="A1110" t="s">
        <v>602</v>
      </c>
      <c r="B1110" t="s">
        <v>43</v>
      </c>
      <c r="C1110" t="s">
        <v>14</v>
      </c>
      <c r="D1110" t="s">
        <v>11</v>
      </c>
      <c r="E1110">
        <v>135</v>
      </c>
      <c r="F1110" s="6">
        <v>3500</v>
      </c>
      <c r="G1110" s="6">
        <v>2500</v>
      </c>
      <c r="H1110" s="6">
        <v>472500</v>
      </c>
      <c r="I1110" s="5">
        <f t="shared" si="17"/>
        <v>135000</v>
      </c>
    </row>
    <row r="1111" spans="1:9" x14ac:dyDescent="0.3">
      <c r="A1111" t="s">
        <v>513</v>
      </c>
      <c r="B1111" t="s">
        <v>28</v>
      </c>
      <c r="C1111" t="s">
        <v>14</v>
      </c>
      <c r="D1111" t="s">
        <v>21</v>
      </c>
      <c r="E1111">
        <v>79</v>
      </c>
      <c r="F1111" s="6">
        <v>600</v>
      </c>
      <c r="G1111" s="6">
        <v>400</v>
      </c>
      <c r="H1111" s="6">
        <v>47400</v>
      </c>
      <c r="I1111" s="5">
        <f t="shared" si="17"/>
        <v>15800</v>
      </c>
    </row>
    <row r="1112" spans="1:9" x14ac:dyDescent="0.3">
      <c r="A1112" t="s">
        <v>120</v>
      </c>
      <c r="B1112" t="s">
        <v>20</v>
      </c>
      <c r="C1112" t="s">
        <v>26</v>
      </c>
      <c r="D1112" t="s">
        <v>15</v>
      </c>
      <c r="E1112">
        <v>128</v>
      </c>
      <c r="F1112" s="6">
        <v>4000</v>
      </c>
      <c r="G1112" s="6">
        <v>3000</v>
      </c>
      <c r="H1112" s="6">
        <v>512000</v>
      </c>
      <c r="I1112" s="5">
        <f t="shared" si="17"/>
        <v>128000</v>
      </c>
    </row>
    <row r="1113" spans="1:9" x14ac:dyDescent="0.3">
      <c r="A1113" t="s">
        <v>268</v>
      </c>
      <c r="B1113" t="s">
        <v>43</v>
      </c>
      <c r="C1113" t="s">
        <v>10</v>
      </c>
      <c r="D1113" t="s">
        <v>15</v>
      </c>
      <c r="E1113">
        <v>131</v>
      </c>
      <c r="F1113" s="6">
        <v>4000</v>
      </c>
      <c r="G1113" s="6">
        <v>3000</v>
      </c>
      <c r="H1113" s="6">
        <v>524000</v>
      </c>
      <c r="I1113" s="5">
        <f t="shared" si="17"/>
        <v>131000</v>
      </c>
    </row>
    <row r="1114" spans="1:9" x14ac:dyDescent="0.3">
      <c r="A1114" t="s">
        <v>311</v>
      </c>
      <c r="B1114" t="s">
        <v>23</v>
      </c>
      <c r="C1114" t="s">
        <v>10</v>
      </c>
      <c r="D1114" t="s">
        <v>31</v>
      </c>
      <c r="E1114">
        <v>59</v>
      </c>
      <c r="F1114" s="6">
        <v>1000</v>
      </c>
      <c r="G1114" s="6">
        <v>700</v>
      </c>
      <c r="H1114" s="6">
        <v>59000</v>
      </c>
      <c r="I1114" s="5">
        <f t="shared" si="17"/>
        <v>17700</v>
      </c>
    </row>
    <row r="1115" spans="1:9" x14ac:dyDescent="0.3">
      <c r="A1115" t="s">
        <v>254</v>
      </c>
      <c r="B1115" t="s">
        <v>9</v>
      </c>
      <c r="C1115" t="s">
        <v>26</v>
      </c>
      <c r="D1115" t="s">
        <v>15</v>
      </c>
      <c r="E1115">
        <v>134</v>
      </c>
      <c r="F1115" s="6">
        <v>4000</v>
      </c>
      <c r="G1115" s="6">
        <v>3000</v>
      </c>
      <c r="H1115" s="6">
        <v>536000</v>
      </c>
      <c r="I1115" s="5">
        <f t="shared" si="17"/>
        <v>134000</v>
      </c>
    </row>
    <row r="1116" spans="1:9" x14ac:dyDescent="0.3">
      <c r="A1116" t="s">
        <v>323</v>
      </c>
      <c r="B1116" t="s">
        <v>23</v>
      </c>
      <c r="C1116" t="s">
        <v>14</v>
      </c>
      <c r="D1116" t="s">
        <v>15</v>
      </c>
      <c r="E1116">
        <v>70</v>
      </c>
      <c r="F1116" s="6">
        <v>4000</v>
      </c>
      <c r="G1116" s="6">
        <v>3000</v>
      </c>
      <c r="H1116" s="6">
        <v>280000</v>
      </c>
      <c r="I1116" s="5">
        <f t="shared" si="17"/>
        <v>70000</v>
      </c>
    </row>
    <row r="1117" spans="1:9" x14ac:dyDescent="0.3">
      <c r="A1117" t="s">
        <v>536</v>
      </c>
      <c r="B1117" t="s">
        <v>43</v>
      </c>
      <c r="C1117" t="s">
        <v>26</v>
      </c>
      <c r="D1117" t="s">
        <v>31</v>
      </c>
      <c r="E1117">
        <v>141</v>
      </c>
      <c r="F1117" s="6">
        <v>1000</v>
      </c>
      <c r="G1117" s="6">
        <v>700</v>
      </c>
      <c r="H1117" s="6">
        <v>141000</v>
      </c>
      <c r="I1117" s="5">
        <f t="shared" si="17"/>
        <v>42300</v>
      </c>
    </row>
    <row r="1118" spans="1:9" x14ac:dyDescent="0.3">
      <c r="A1118" t="s">
        <v>461</v>
      </c>
      <c r="B1118" t="s">
        <v>40</v>
      </c>
      <c r="C1118" t="s">
        <v>17</v>
      </c>
      <c r="D1118" t="s">
        <v>18</v>
      </c>
      <c r="E1118">
        <v>139</v>
      </c>
      <c r="F1118" s="6">
        <v>6000</v>
      </c>
      <c r="G1118" s="6">
        <v>4000</v>
      </c>
      <c r="H1118" s="6">
        <v>834000</v>
      </c>
      <c r="I1118" s="5">
        <f t="shared" si="17"/>
        <v>278000</v>
      </c>
    </row>
    <row r="1119" spans="1:9" x14ac:dyDescent="0.3">
      <c r="A1119" t="s">
        <v>87</v>
      </c>
      <c r="B1119" t="s">
        <v>28</v>
      </c>
      <c r="C1119" t="s">
        <v>26</v>
      </c>
      <c r="D1119" t="s">
        <v>15</v>
      </c>
      <c r="E1119">
        <v>130</v>
      </c>
      <c r="F1119" s="6">
        <v>4000</v>
      </c>
      <c r="G1119" s="6">
        <v>3000</v>
      </c>
      <c r="H1119" s="6">
        <v>520000</v>
      </c>
      <c r="I1119" s="5">
        <f t="shared" si="17"/>
        <v>130000</v>
      </c>
    </row>
    <row r="1120" spans="1:9" x14ac:dyDescent="0.3">
      <c r="A1120" t="s">
        <v>164</v>
      </c>
      <c r="B1120" t="s">
        <v>36</v>
      </c>
      <c r="C1120" t="s">
        <v>14</v>
      </c>
      <c r="D1120" t="s">
        <v>24</v>
      </c>
      <c r="E1120">
        <v>96</v>
      </c>
      <c r="F1120" s="6">
        <v>1200</v>
      </c>
      <c r="G1120" s="6">
        <v>800</v>
      </c>
      <c r="H1120" s="6">
        <v>115200</v>
      </c>
      <c r="I1120" s="5">
        <f t="shared" si="17"/>
        <v>38400</v>
      </c>
    </row>
    <row r="1121" spans="1:9" x14ac:dyDescent="0.3">
      <c r="A1121" t="s">
        <v>407</v>
      </c>
      <c r="B1121" t="s">
        <v>20</v>
      </c>
      <c r="C1121" t="s">
        <v>17</v>
      </c>
      <c r="D1121" t="s">
        <v>21</v>
      </c>
      <c r="E1121">
        <v>87</v>
      </c>
      <c r="F1121" s="6">
        <v>600</v>
      </c>
      <c r="G1121" s="6">
        <v>400</v>
      </c>
      <c r="H1121" s="6">
        <v>52200</v>
      </c>
      <c r="I1121" s="5">
        <f t="shared" si="17"/>
        <v>17400</v>
      </c>
    </row>
    <row r="1122" spans="1:9" x14ac:dyDescent="0.3">
      <c r="A1122" t="s">
        <v>529</v>
      </c>
      <c r="B1122" t="s">
        <v>20</v>
      </c>
      <c r="C1122" t="s">
        <v>17</v>
      </c>
      <c r="D1122" t="s">
        <v>21</v>
      </c>
      <c r="E1122">
        <v>134</v>
      </c>
      <c r="F1122" s="6">
        <v>600</v>
      </c>
      <c r="G1122" s="6">
        <v>400</v>
      </c>
      <c r="H1122" s="6">
        <v>80400</v>
      </c>
      <c r="I1122" s="5">
        <f t="shared" si="17"/>
        <v>26800</v>
      </c>
    </row>
    <row r="1123" spans="1:9" x14ac:dyDescent="0.3">
      <c r="A1123" t="s">
        <v>197</v>
      </c>
      <c r="B1123" t="s">
        <v>43</v>
      </c>
      <c r="C1123" t="s">
        <v>26</v>
      </c>
      <c r="D1123" t="s">
        <v>11</v>
      </c>
      <c r="E1123">
        <v>116</v>
      </c>
      <c r="F1123" s="6">
        <v>3500</v>
      </c>
      <c r="G1123" s="6">
        <v>2500</v>
      </c>
      <c r="H1123" s="6">
        <v>406000</v>
      </c>
      <c r="I1123" s="5">
        <f t="shared" si="17"/>
        <v>116000</v>
      </c>
    </row>
    <row r="1124" spans="1:9" x14ac:dyDescent="0.3">
      <c r="A1124" t="s">
        <v>476</v>
      </c>
      <c r="B1124" t="s">
        <v>23</v>
      </c>
      <c r="C1124" t="s">
        <v>17</v>
      </c>
      <c r="D1124" t="s">
        <v>31</v>
      </c>
      <c r="E1124">
        <v>51</v>
      </c>
      <c r="F1124" s="6">
        <v>1000</v>
      </c>
      <c r="G1124" s="6">
        <v>700</v>
      </c>
      <c r="H1124" s="6">
        <v>51000</v>
      </c>
      <c r="I1124" s="5">
        <f t="shared" si="17"/>
        <v>15300</v>
      </c>
    </row>
    <row r="1125" spans="1:9" x14ac:dyDescent="0.3">
      <c r="A1125" t="s">
        <v>603</v>
      </c>
      <c r="B1125" t="s">
        <v>13</v>
      </c>
      <c r="C1125" t="s">
        <v>17</v>
      </c>
      <c r="D1125" t="s">
        <v>34</v>
      </c>
      <c r="E1125">
        <v>67</v>
      </c>
      <c r="F1125" s="6">
        <v>10000</v>
      </c>
      <c r="G1125" s="6">
        <v>7000</v>
      </c>
      <c r="H1125" s="6">
        <v>670000</v>
      </c>
      <c r="I1125" s="5">
        <f t="shared" si="17"/>
        <v>201000</v>
      </c>
    </row>
    <row r="1126" spans="1:9" x14ac:dyDescent="0.3">
      <c r="A1126" t="s">
        <v>604</v>
      </c>
      <c r="B1126" t="s">
        <v>43</v>
      </c>
      <c r="C1126" t="s">
        <v>14</v>
      </c>
      <c r="D1126" t="s">
        <v>21</v>
      </c>
      <c r="E1126">
        <v>123</v>
      </c>
      <c r="F1126" s="6">
        <v>600</v>
      </c>
      <c r="G1126" s="6">
        <v>400</v>
      </c>
      <c r="H1126" s="6">
        <v>73800</v>
      </c>
      <c r="I1126" s="5">
        <f t="shared" si="17"/>
        <v>24600</v>
      </c>
    </row>
    <row r="1127" spans="1:9" x14ac:dyDescent="0.3">
      <c r="A1127" t="s">
        <v>605</v>
      </c>
      <c r="B1127" t="s">
        <v>40</v>
      </c>
      <c r="C1127" t="s">
        <v>14</v>
      </c>
      <c r="D1127" t="s">
        <v>34</v>
      </c>
      <c r="E1127">
        <v>52</v>
      </c>
      <c r="F1127" s="6">
        <v>10000</v>
      </c>
      <c r="G1127" s="6">
        <v>7000</v>
      </c>
      <c r="H1127" s="6">
        <v>520000</v>
      </c>
      <c r="I1127" s="5">
        <f t="shared" si="17"/>
        <v>156000</v>
      </c>
    </row>
    <row r="1128" spans="1:9" x14ac:dyDescent="0.3">
      <c r="A1128" t="s">
        <v>400</v>
      </c>
      <c r="B1128" t="s">
        <v>9</v>
      </c>
      <c r="C1128" t="s">
        <v>14</v>
      </c>
      <c r="D1128" t="s">
        <v>15</v>
      </c>
      <c r="E1128">
        <v>131</v>
      </c>
      <c r="F1128" s="6">
        <v>4000</v>
      </c>
      <c r="G1128" s="6">
        <v>3000</v>
      </c>
      <c r="H1128" s="6">
        <v>524000</v>
      </c>
      <c r="I1128" s="5">
        <f t="shared" si="17"/>
        <v>131000</v>
      </c>
    </row>
    <row r="1129" spans="1:9" x14ac:dyDescent="0.3">
      <c r="A1129" t="s">
        <v>358</v>
      </c>
      <c r="B1129" t="s">
        <v>28</v>
      </c>
      <c r="C1129" t="s">
        <v>14</v>
      </c>
      <c r="D1129" t="s">
        <v>34</v>
      </c>
      <c r="E1129">
        <v>144</v>
      </c>
      <c r="F1129" s="6">
        <v>10000</v>
      </c>
      <c r="G1129" s="6">
        <v>7000</v>
      </c>
      <c r="H1129" s="6">
        <v>1440000</v>
      </c>
      <c r="I1129" s="5">
        <f t="shared" si="17"/>
        <v>432000</v>
      </c>
    </row>
    <row r="1130" spans="1:9" x14ac:dyDescent="0.3">
      <c r="A1130" t="s">
        <v>606</v>
      </c>
      <c r="B1130" t="s">
        <v>36</v>
      </c>
      <c r="C1130" t="s">
        <v>17</v>
      </c>
      <c r="D1130" t="s">
        <v>11</v>
      </c>
      <c r="E1130">
        <v>131</v>
      </c>
      <c r="F1130" s="6">
        <v>3500</v>
      </c>
      <c r="G1130" s="6">
        <v>2500</v>
      </c>
      <c r="H1130" s="6">
        <v>458500</v>
      </c>
      <c r="I1130" s="5">
        <f t="shared" si="17"/>
        <v>131000</v>
      </c>
    </row>
    <row r="1131" spans="1:9" x14ac:dyDescent="0.3">
      <c r="A1131" t="s">
        <v>340</v>
      </c>
      <c r="B1131" t="s">
        <v>36</v>
      </c>
      <c r="C1131" t="s">
        <v>26</v>
      </c>
      <c r="D1131" t="s">
        <v>31</v>
      </c>
      <c r="E1131">
        <v>56</v>
      </c>
      <c r="F1131" s="6">
        <v>1000</v>
      </c>
      <c r="G1131" s="6">
        <v>700</v>
      </c>
      <c r="H1131" s="6">
        <v>56000</v>
      </c>
      <c r="I1131" s="5">
        <f t="shared" si="17"/>
        <v>16800</v>
      </c>
    </row>
    <row r="1132" spans="1:9" x14ac:dyDescent="0.3">
      <c r="A1132" t="s">
        <v>53</v>
      </c>
      <c r="B1132" t="s">
        <v>20</v>
      </c>
      <c r="C1132" t="s">
        <v>26</v>
      </c>
      <c r="D1132" t="s">
        <v>15</v>
      </c>
      <c r="E1132">
        <v>100</v>
      </c>
      <c r="F1132" s="6">
        <v>4000</v>
      </c>
      <c r="G1132" s="6">
        <v>3000</v>
      </c>
      <c r="H1132" s="6">
        <v>400000</v>
      </c>
      <c r="I1132" s="5">
        <f t="shared" si="17"/>
        <v>100000</v>
      </c>
    </row>
    <row r="1133" spans="1:9" x14ac:dyDescent="0.3">
      <c r="A1133" t="s">
        <v>607</v>
      </c>
      <c r="B1133" t="s">
        <v>9</v>
      </c>
      <c r="C1133" t="s">
        <v>26</v>
      </c>
      <c r="D1133" t="s">
        <v>11</v>
      </c>
      <c r="E1133">
        <v>102</v>
      </c>
      <c r="F1133" s="6">
        <v>3500</v>
      </c>
      <c r="G1133" s="6">
        <v>2500</v>
      </c>
      <c r="H1133" s="6">
        <v>357000</v>
      </c>
      <c r="I1133" s="5">
        <f t="shared" si="17"/>
        <v>102000</v>
      </c>
    </row>
    <row r="1134" spans="1:9" x14ac:dyDescent="0.3">
      <c r="A1134" t="s">
        <v>421</v>
      </c>
      <c r="B1134" t="s">
        <v>9</v>
      </c>
      <c r="C1134" t="s">
        <v>14</v>
      </c>
      <c r="D1134" t="s">
        <v>24</v>
      </c>
      <c r="E1134">
        <v>63</v>
      </c>
      <c r="F1134" s="6">
        <v>1200</v>
      </c>
      <c r="G1134" s="6">
        <v>800</v>
      </c>
      <c r="H1134" s="6">
        <v>75600</v>
      </c>
      <c r="I1134" s="5">
        <f t="shared" si="17"/>
        <v>25200</v>
      </c>
    </row>
    <row r="1135" spans="1:9" x14ac:dyDescent="0.3">
      <c r="A1135" t="s">
        <v>554</v>
      </c>
      <c r="B1135" t="s">
        <v>36</v>
      </c>
      <c r="C1135" t="s">
        <v>14</v>
      </c>
      <c r="D1135" t="s">
        <v>34</v>
      </c>
      <c r="E1135">
        <v>106</v>
      </c>
      <c r="F1135" s="6">
        <v>10000</v>
      </c>
      <c r="G1135" s="6">
        <v>7000</v>
      </c>
      <c r="H1135" s="6">
        <v>1060000</v>
      </c>
      <c r="I1135" s="5">
        <f t="shared" si="17"/>
        <v>318000</v>
      </c>
    </row>
    <row r="1136" spans="1:9" x14ac:dyDescent="0.3">
      <c r="A1136" t="s">
        <v>493</v>
      </c>
      <c r="B1136" t="s">
        <v>40</v>
      </c>
      <c r="C1136" t="s">
        <v>10</v>
      </c>
      <c r="D1136" t="s">
        <v>15</v>
      </c>
      <c r="E1136">
        <v>116</v>
      </c>
      <c r="F1136" s="6">
        <v>4000</v>
      </c>
      <c r="G1136" s="6">
        <v>3000</v>
      </c>
      <c r="H1136" s="6">
        <v>464000</v>
      </c>
      <c r="I1136" s="5">
        <f t="shared" si="17"/>
        <v>116000</v>
      </c>
    </row>
    <row r="1137" spans="1:9" x14ac:dyDescent="0.3">
      <c r="A1137" t="s">
        <v>203</v>
      </c>
      <c r="B1137" t="s">
        <v>36</v>
      </c>
      <c r="C1137" t="s">
        <v>17</v>
      </c>
      <c r="D1137" t="s">
        <v>34</v>
      </c>
      <c r="E1137">
        <v>68</v>
      </c>
      <c r="F1137" s="6">
        <v>10000</v>
      </c>
      <c r="G1137" s="6">
        <v>7000</v>
      </c>
      <c r="H1137" s="6">
        <v>680000</v>
      </c>
      <c r="I1137" s="5">
        <f t="shared" si="17"/>
        <v>204000</v>
      </c>
    </row>
    <row r="1138" spans="1:9" x14ac:dyDescent="0.3">
      <c r="A1138" t="s">
        <v>608</v>
      </c>
      <c r="B1138" t="s">
        <v>40</v>
      </c>
      <c r="C1138" t="s">
        <v>17</v>
      </c>
      <c r="D1138" t="s">
        <v>11</v>
      </c>
      <c r="E1138">
        <v>112</v>
      </c>
      <c r="F1138" s="6">
        <v>3500</v>
      </c>
      <c r="G1138" s="6">
        <v>2500</v>
      </c>
      <c r="H1138" s="6">
        <v>392000</v>
      </c>
      <c r="I1138" s="5">
        <f t="shared" si="17"/>
        <v>112000</v>
      </c>
    </row>
    <row r="1139" spans="1:9" x14ac:dyDescent="0.3">
      <c r="A1139" t="s">
        <v>593</v>
      </c>
      <c r="B1139" t="s">
        <v>36</v>
      </c>
      <c r="C1139" t="s">
        <v>14</v>
      </c>
      <c r="D1139" t="s">
        <v>21</v>
      </c>
      <c r="E1139">
        <v>95</v>
      </c>
      <c r="F1139" s="6">
        <v>600</v>
      </c>
      <c r="G1139" s="6">
        <v>400</v>
      </c>
      <c r="H1139" s="6">
        <v>57000</v>
      </c>
      <c r="I1139" s="5">
        <f t="shared" si="17"/>
        <v>19000</v>
      </c>
    </row>
    <row r="1140" spans="1:9" x14ac:dyDescent="0.3">
      <c r="A1140" t="s">
        <v>586</v>
      </c>
      <c r="B1140" t="s">
        <v>58</v>
      </c>
      <c r="C1140" t="s">
        <v>17</v>
      </c>
      <c r="D1140" t="s">
        <v>24</v>
      </c>
      <c r="E1140">
        <v>137</v>
      </c>
      <c r="F1140" s="6">
        <v>1200</v>
      </c>
      <c r="G1140" s="6">
        <v>800</v>
      </c>
      <c r="H1140" s="6">
        <v>164400</v>
      </c>
      <c r="I1140" s="5">
        <f t="shared" si="17"/>
        <v>54800</v>
      </c>
    </row>
    <row r="1141" spans="1:9" x14ac:dyDescent="0.3">
      <c r="A1141" t="s">
        <v>116</v>
      </c>
      <c r="B1141" t="s">
        <v>58</v>
      </c>
      <c r="C1141" t="s">
        <v>17</v>
      </c>
      <c r="D1141" t="s">
        <v>15</v>
      </c>
      <c r="E1141">
        <v>82</v>
      </c>
      <c r="F1141" s="6">
        <v>4000</v>
      </c>
      <c r="G1141" s="6">
        <v>3000</v>
      </c>
      <c r="H1141" s="6">
        <v>328000</v>
      </c>
      <c r="I1141" s="5">
        <f t="shared" si="17"/>
        <v>82000</v>
      </c>
    </row>
    <row r="1142" spans="1:9" x14ac:dyDescent="0.3">
      <c r="A1142" t="s">
        <v>524</v>
      </c>
      <c r="B1142" t="s">
        <v>20</v>
      </c>
      <c r="C1142" t="s">
        <v>10</v>
      </c>
      <c r="D1142" t="s">
        <v>11</v>
      </c>
      <c r="E1142">
        <v>103</v>
      </c>
      <c r="F1142" s="6">
        <v>3500</v>
      </c>
      <c r="G1142" s="6">
        <v>2500</v>
      </c>
      <c r="H1142" s="6">
        <v>360500</v>
      </c>
      <c r="I1142" s="5">
        <f t="shared" si="17"/>
        <v>103000</v>
      </c>
    </row>
    <row r="1143" spans="1:9" x14ac:dyDescent="0.3">
      <c r="A1143" t="s">
        <v>278</v>
      </c>
      <c r="B1143" t="s">
        <v>58</v>
      </c>
      <c r="C1143" t="s">
        <v>14</v>
      </c>
      <c r="D1143" t="s">
        <v>18</v>
      </c>
      <c r="E1143">
        <v>73</v>
      </c>
      <c r="F1143" s="6">
        <v>6000</v>
      </c>
      <c r="G1143" s="6">
        <v>4000</v>
      </c>
      <c r="H1143" s="6">
        <v>438000</v>
      </c>
      <c r="I1143" s="5">
        <f t="shared" si="17"/>
        <v>146000</v>
      </c>
    </row>
    <row r="1144" spans="1:9" x14ac:dyDescent="0.3">
      <c r="A1144" t="s">
        <v>144</v>
      </c>
      <c r="B1144" t="s">
        <v>28</v>
      </c>
      <c r="C1144" t="s">
        <v>17</v>
      </c>
      <c r="D1144" t="s">
        <v>31</v>
      </c>
      <c r="E1144">
        <v>98</v>
      </c>
      <c r="F1144" s="6">
        <v>1000</v>
      </c>
      <c r="G1144" s="6">
        <v>700</v>
      </c>
      <c r="H1144" s="6">
        <v>98000</v>
      </c>
      <c r="I1144" s="5">
        <f t="shared" si="17"/>
        <v>29400</v>
      </c>
    </row>
    <row r="1145" spans="1:9" x14ac:dyDescent="0.3">
      <c r="A1145" t="s">
        <v>488</v>
      </c>
      <c r="B1145" t="s">
        <v>40</v>
      </c>
      <c r="C1145" t="s">
        <v>26</v>
      </c>
      <c r="D1145" t="s">
        <v>15</v>
      </c>
      <c r="E1145">
        <v>135</v>
      </c>
      <c r="F1145" s="6">
        <v>4000</v>
      </c>
      <c r="G1145" s="6">
        <v>3000</v>
      </c>
      <c r="H1145" s="6">
        <v>540000</v>
      </c>
      <c r="I1145" s="5">
        <f t="shared" si="17"/>
        <v>135000</v>
      </c>
    </row>
    <row r="1146" spans="1:9" x14ac:dyDescent="0.3">
      <c r="A1146" t="s">
        <v>368</v>
      </c>
      <c r="B1146" t="s">
        <v>28</v>
      </c>
      <c r="C1146" t="s">
        <v>26</v>
      </c>
      <c r="D1146" t="s">
        <v>34</v>
      </c>
      <c r="E1146">
        <v>95</v>
      </c>
      <c r="F1146" s="6">
        <v>10000</v>
      </c>
      <c r="G1146" s="6">
        <v>7000</v>
      </c>
      <c r="H1146" s="6">
        <v>950000</v>
      </c>
      <c r="I1146" s="5">
        <f t="shared" si="17"/>
        <v>285000</v>
      </c>
    </row>
    <row r="1147" spans="1:9" x14ac:dyDescent="0.3">
      <c r="A1147" t="s">
        <v>316</v>
      </c>
      <c r="B1147" t="s">
        <v>20</v>
      </c>
      <c r="C1147" t="s">
        <v>10</v>
      </c>
      <c r="D1147" t="s">
        <v>21</v>
      </c>
      <c r="E1147">
        <v>76</v>
      </c>
      <c r="F1147" s="6">
        <v>600</v>
      </c>
      <c r="G1147" s="6">
        <v>400</v>
      </c>
      <c r="H1147" s="6">
        <v>45600</v>
      </c>
      <c r="I1147" s="5">
        <f t="shared" si="17"/>
        <v>15200</v>
      </c>
    </row>
    <row r="1148" spans="1:9" x14ac:dyDescent="0.3">
      <c r="A1148" t="s">
        <v>94</v>
      </c>
      <c r="B1148" t="s">
        <v>9</v>
      </c>
      <c r="C1148" t="s">
        <v>17</v>
      </c>
      <c r="D1148" t="s">
        <v>18</v>
      </c>
      <c r="E1148">
        <v>62</v>
      </c>
      <c r="F1148" s="6">
        <v>6000</v>
      </c>
      <c r="G1148" s="6">
        <v>4000</v>
      </c>
      <c r="H1148" s="6">
        <v>372000</v>
      </c>
      <c r="I1148" s="5">
        <f t="shared" si="17"/>
        <v>124000</v>
      </c>
    </row>
    <row r="1149" spans="1:9" x14ac:dyDescent="0.3">
      <c r="A1149" t="s">
        <v>214</v>
      </c>
      <c r="B1149" t="s">
        <v>28</v>
      </c>
      <c r="C1149" t="s">
        <v>14</v>
      </c>
      <c r="D1149" t="s">
        <v>24</v>
      </c>
      <c r="E1149">
        <v>97</v>
      </c>
      <c r="F1149" s="6">
        <v>1200</v>
      </c>
      <c r="G1149" s="6">
        <v>800</v>
      </c>
      <c r="H1149" s="6">
        <v>116400</v>
      </c>
      <c r="I1149" s="5">
        <f t="shared" si="17"/>
        <v>38800</v>
      </c>
    </row>
    <row r="1150" spans="1:9" x14ac:dyDescent="0.3">
      <c r="A1150" t="s">
        <v>131</v>
      </c>
      <c r="B1150" t="s">
        <v>43</v>
      </c>
      <c r="C1150" t="s">
        <v>26</v>
      </c>
      <c r="D1150" t="s">
        <v>24</v>
      </c>
      <c r="E1150">
        <v>58</v>
      </c>
      <c r="F1150" s="6">
        <v>1200</v>
      </c>
      <c r="G1150" s="6">
        <v>800</v>
      </c>
      <c r="H1150" s="6">
        <v>69600</v>
      </c>
      <c r="I1150" s="5">
        <f t="shared" si="17"/>
        <v>23200</v>
      </c>
    </row>
    <row r="1151" spans="1:9" x14ac:dyDescent="0.3">
      <c r="A1151" t="s">
        <v>190</v>
      </c>
      <c r="B1151" t="s">
        <v>30</v>
      </c>
      <c r="C1151" t="s">
        <v>14</v>
      </c>
      <c r="D1151" t="s">
        <v>34</v>
      </c>
      <c r="E1151">
        <v>122</v>
      </c>
      <c r="F1151" s="6">
        <v>10000</v>
      </c>
      <c r="G1151" s="6">
        <v>7000</v>
      </c>
      <c r="H1151" s="6">
        <v>1220000</v>
      </c>
      <c r="I1151" s="5">
        <f t="shared" si="17"/>
        <v>366000</v>
      </c>
    </row>
    <row r="1152" spans="1:9" x14ac:dyDescent="0.3">
      <c r="A1152" t="s">
        <v>263</v>
      </c>
      <c r="B1152" t="s">
        <v>30</v>
      </c>
      <c r="C1152" t="s">
        <v>17</v>
      </c>
      <c r="D1152" t="s">
        <v>24</v>
      </c>
      <c r="E1152">
        <v>59</v>
      </c>
      <c r="F1152" s="6">
        <v>1200</v>
      </c>
      <c r="G1152" s="6">
        <v>800</v>
      </c>
      <c r="H1152" s="6">
        <v>70800</v>
      </c>
      <c r="I1152" s="5">
        <f t="shared" si="17"/>
        <v>23600</v>
      </c>
    </row>
    <row r="1153" spans="1:9" x14ac:dyDescent="0.3">
      <c r="A1153" t="s">
        <v>609</v>
      </c>
      <c r="B1153" t="s">
        <v>13</v>
      </c>
      <c r="C1153" t="s">
        <v>14</v>
      </c>
      <c r="D1153" t="s">
        <v>15</v>
      </c>
      <c r="E1153">
        <v>66</v>
      </c>
      <c r="F1153" s="6">
        <v>4000</v>
      </c>
      <c r="G1153" s="6">
        <v>3000</v>
      </c>
      <c r="H1153" s="6">
        <v>264000</v>
      </c>
      <c r="I1153" s="5">
        <f t="shared" si="17"/>
        <v>66000</v>
      </c>
    </row>
    <row r="1154" spans="1:9" x14ac:dyDescent="0.3">
      <c r="A1154" t="s">
        <v>141</v>
      </c>
      <c r="B1154" t="s">
        <v>30</v>
      </c>
      <c r="C1154" t="s">
        <v>14</v>
      </c>
      <c r="D1154" t="s">
        <v>31</v>
      </c>
      <c r="E1154">
        <v>115</v>
      </c>
      <c r="F1154" s="6">
        <v>1000</v>
      </c>
      <c r="G1154" s="6">
        <v>700</v>
      </c>
      <c r="H1154" s="6">
        <v>115000</v>
      </c>
      <c r="I1154" s="5">
        <f t="shared" ref="I1154:I1217" si="18">H1154-(G1154*E1154)</f>
        <v>34500</v>
      </c>
    </row>
    <row r="1155" spans="1:9" x14ac:dyDescent="0.3">
      <c r="A1155" t="s">
        <v>166</v>
      </c>
      <c r="B1155" t="s">
        <v>23</v>
      </c>
      <c r="C1155" t="s">
        <v>14</v>
      </c>
      <c r="D1155" t="s">
        <v>18</v>
      </c>
      <c r="E1155">
        <v>74</v>
      </c>
      <c r="F1155" s="6">
        <v>6000</v>
      </c>
      <c r="G1155" s="6">
        <v>4000</v>
      </c>
      <c r="H1155" s="6">
        <v>444000</v>
      </c>
      <c r="I1155" s="5">
        <f t="shared" si="18"/>
        <v>148000</v>
      </c>
    </row>
    <row r="1156" spans="1:9" x14ac:dyDescent="0.3">
      <c r="A1156" t="s">
        <v>610</v>
      </c>
      <c r="B1156" t="s">
        <v>23</v>
      </c>
      <c r="C1156" t="s">
        <v>26</v>
      </c>
      <c r="D1156" t="s">
        <v>15</v>
      </c>
      <c r="E1156">
        <v>140</v>
      </c>
      <c r="F1156" s="6">
        <v>4000</v>
      </c>
      <c r="G1156" s="6">
        <v>3000</v>
      </c>
      <c r="H1156" s="6">
        <v>560000</v>
      </c>
      <c r="I1156" s="5">
        <f t="shared" si="18"/>
        <v>140000</v>
      </c>
    </row>
    <row r="1157" spans="1:9" x14ac:dyDescent="0.3">
      <c r="A1157" t="s">
        <v>611</v>
      </c>
      <c r="B1157" t="s">
        <v>40</v>
      </c>
      <c r="C1157" t="s">
        <v>10</v>
      </c>
      <c r="D1157" t="s">
        <v>21</v>
      </c>
      <c r="E1157">
        <v>73</v>
      </c>
      <c r="F1157" s="6">
        <v>600</v>
      </c>
      <c r="G1157" s="6">
        <v>400</v>
      </c>
      <c r="H1157" s="6">
        <v>43800</v>
      </c>
      <c r="I1157" s="5">
        <f t="shared" si="18"/>
        <v>14600</v>
      </c>
    </row>
    <row r="1158" spans="1:9" x14ac:dyDescent="0.3">
      <c r="A1158" t="s">
        <v>612</v>
      </c>
      <c r="B1158" t="s">
        <v>20</v>
      </c>
      <c r="C1158" t="s">
        <v>14</v>
      </c>
      <c r="D1158" t="s">
        <v>34</v>
      </c>
      <c r="E1158">
        <v>82</v>
      </c>
      <c r="F1158" s="6">
        <v>10000</v>
      </c>
      <c r="G1158" s="6">
        <v>7000</v>
      </c>
      <c r="H1158" s="6">
        <v>820000</v>
      </c>
      <c r="I1158" s="5">
        <f t="shared" si="18"/>
        <v>246000</v>
      </c>
    </row>
    <row r="1159" spans="1:9" x14ac:dyDescent="0.3">
      <c r="A1159" t="s">
        <v>39</v>
      </c>
      <c r="B1159" t="s">
        <v>20</v>
      </c>
      <c r="C1159" t="s">
        <v>10</v>
      </c>
      <c r="D1159" t="s">
        <v>15</v>
      </c>
      <c r="E1159">
        <v>64</v>
      </c>
      <c r="F1159" s="6">
        <v>4000</v>
      </c>
      <c r="G1159" s="6">
        <v>3000</v>
      </c>
      <c r="H1159" s="6">
        <v>256000</v>
      </c>
      <c r="I1159" s="5">
        <f t="shared" si="18"/>
        <v>64000</v>
      </c>
    </row>
    <row r="1160" spans="1:9" x14ac:dyDescent="0.3">
      <c r="A1160" t="s">
        <v>254</v>
      </c>
      <c r="B1160" t="s">
        <v>13</v>
      </c>
      <c r="C1160" t="s">
        <v>10</v>
      </c>
      <c r="D1160" t="s">
        <v>21</v>
      </c>
      <c r="E1160">
        <v>80</v>
      </c>
      <c r="F1160" s="6">
        <v>600</v>
      </c>
      <c r="G1160" s="6">
        <v>400</v>
      </c>
      <c r="H1160" s="6">
        <v>48000</v>
      </c>
      <c r="I1160" s="5">
        <f t="shared" si="18"/>
        <v>16000</v>
      </c>
    </row>
    <row r="1161" spans="1:9" x14ac:dyDescent="0.3">
      <c r="A1161" t="s">
        <v>185</v>
      </c>
      <c r="B1161" t="s">
        <v>30</v>
      </c>
      <c r="C1161" t="s">
        <v>17</v>
      </c>
      <c r="D1161" t="s">
        <v>11</v>
      </c>
      <c r="E1161">
        <v>138</v>
      </c>
      <c r="F1161" s="6">
        <v>3500</v>
      </c>
      <c r="G1161" s="6">
        <v>2500</v>
      </c>
      <c r="H1161" s="6">
        <v>483000</v>
      </c>
      <c r="I1161" s="5">
        <f t="shared" si="18"/>
        <v>138000</v>
      </c>
    </row>
    <row r="1162" spans="1:9" x14ac:dyDescent="0.3">
      <c r="A1162" t="s">
        <v>55</v>
      </c>
      <c r="B1162" t="s">
        <v>36</v>
      </c>
      <c r="C1162" t="s">
        <v>14</v>
      </c>
      <c r="D1162" t="s">
        <v>21</v>
      </c>
      <c r="E1162">
        <v>100</v>
      </c>
      <c r="F1162" s="6">
        <v>600</v>
      </c>
      <c r="G1162" s="6">
        <v>400</v>
      </c>
      <c r="H1162" s="6">
        <v>60000</v>
      </c>
      <c r="I1162" s="5">
        <f t="shared" si="18"/>
        <v>20000</v>
      </c>
    </row>
    <row r="1163" spans="1:9" x14ac:dyDescent="0.3">
      <c r="A1163" t="s">
        <v>613</v>
      </c>
      <c r="B1163" t="s">
        <v>23</v>
      </c>
      <c r="C1163" t="s">
        <v>10</v>
      </c>
      <c r="D1163" t="s">
        <v>11</v>
      </c>
      <c r="E1163">
        <v>101</v>
      </c>
      <c r="F1163" s="6">
        <v>3500</v>
      </c>
      <c r="G1163" s="6">
        <v>2500</v>
      </c>
      <c r="H1163" s="6">
        <v>353500</v>
      </c>
      <c r="I1163" s="5">
        <f t="shared" si="18"/>
        <v>101000</v>
      </c>
    </row>
    <row r="1164" spans="1:9" x14ac:dyDescent="0.3">
      <c r="A1164" t="s">
        <v>348</v>
      </c>
      <c r="B1164" t="s">
        <v>13</v>
      </c>
      <c r="C1164" t="s">
        <v>14</v>
      </c>
      <c r="D1164" t="s">
        <v>11</v>
      </c>
      <c r="E1164">
        <v>65</v>
      </c>
      <c r="F1164" s="6">
        <v>3500</v>
      </c>
      <c r="G1164" s="6">
        <v>2500</v>
      </c>
      <c r="H1164" s="6">
        <v>227500</v>
      </c>
      <c r="I1164" s="5">
        <f t="shared" si="18"/>
        <v>65000</v>
      </c>
    </row>
    <row r="1165" spans="1:9" x14ac:dyDescent="0.3">
      <c r="A1165" t="s">
        <v>12</v>
      </c>
      <c r="B1165" t="s">
        <v>40</v>
      </c>
      <c r="C1165" t="s">
        <v>17</v>
      </c>
      <c r="D1165" t="s">
        <v>34</v>
      </c>
      <c r="E1165">
        <v>128</v>
      </c>
      <c r="F1165" s="6">
        <v>10000</v>
      </c>
      <c r="G1165" s="6">
        <v>7000</v>
      </c>
      <c r="H1165" s="6">
        <v>1280000</v>
      </c>
      <c r="I1165" s="5">
        <f t="shared" si="18"/>
        <v>384000</v>
      </c>
    </row>
    <row r="1166" spans="1:9" x14ac:dyDescent="0.3">
      <c r="A1166" t="s">
        <v>567</v>
      </c>
      <c r="B1166" t="s">
        <v>36</v>
      </c>
      <c r="C1166" t="s">
        <v>10</v>
      </c>
      <c r="D1166" t="s">
        <v>24</v>
      </c>
      <c r="E1166">
        <v>138</v>
      </c>
      <c r="F1166" s="6">
        <v>1200</v>
      </c>
      <c r="G1166" s="6">
        <v>800</v>
      </c>
      <c r="H1166" s="6">
        <v>165600</v>
      </c>
      <c r="I1166" s="5">
        <f t="shared" si="18"/>
        <v>55200</v>
      </c>
    </row>
    <row r="1167" spans="1:9" x14ac:dyDescent="0.3">
      <c r="A1167" t="s">
        <v>356</v>
      </c>
      <c r="B1167" t="s">
        <v>28</v>
      </c>
      <c r="C1167" t="s">
        <v>26</v>
      </c>
      <c r="D1167" t="s">
        <v>24</v>
      </c>
      <c r="E1167">
        <v>138</v>
      </c>
      <c r="F1167" s="6">
        <v>1200</v>
      </c>
      <c r="G1167" s="6">
        <v>800</v>
      </c>
      <c r="H1167" s="6">
        <v>165600</v>
      </c>
      <c r="I1167" s="5">
        <f t="shared" si="18"/>
        <v>55200</v>
      </c>
    </row>
    <row r="1168" spans="1:9" x14ac:dyDescent="0.3">
      <c r="A1168" t="s">
        <v>35</v>
      </c>
      <c r="B1168" t="s">
        <v>36</v>
      </c>
      <c r="C1168" t="s">
        <v>14</v>
      </c>
      <c r="D1168" t="s">
        <v>31</v>
      </c>
      <c r="E1168">
        <v>102</v>
      </c>
      <c r="F1168" s="6">
        <v>1000</v>
      </c>
      <c r="G1168" s="6">
        <v>700</v>
      </c>
      <c r="H1168" s="6">
        <v>102000</v>
      </c>
      <c r="I1168" s="5">
        <f t="shared" si="18"/>
        <v>30600</v>
      </c>
    </row>
    <row r="1169" spans="1:9" x14ac:dyDescent="0.3">
      <c r="A1169" t="s">
        <v>218</v>
      </c>
      <c r="B1169" t="s">
        <v>20</v>
      </c>
      <c r="C1169" t="s">
        <v>17</v>
      </c>
      <c r="D1169" t="s">
        <v>31</v>
      </c>
      <c r="E1169">
        <v>72</v>
      </c>
      <c r="F1169" s="6">
        <v>1000</v>
      </c>
      <c r="G1169" s="6">
        <v>700</v>
      </c>
      <c r="H1169" s="6">
        <v>72000</v>
      </c>
      <c r="I1169" s="5">
        <f t="shared" si="18"/>
        <v>21600</v>
      </c>
    </row>
    <row r="1170" spans="1:9" x14ac:dyDescent="0.3">
      <c r="A1170" t="s">
        <v>158</v>
      </c>
      <c r="B1170" t="s">
        <v>36</v>
      </c>
      <c r="C1170" t="s">
        <v>10</v>
      </c>
      <c r="D1170" t="s">
        <v>34</v>
      </c>
      <c r="E1170">
        <v>114</v>
      </c>
      <c r="F1170" s="6">
        <v>10000</v>
      </c>
      <c r="G1170" s="6">
        <v>7000</v>
      </c>
      <c r="H1170" s="6">
        <v>1140000</v>
      </c>
      <c r="I1170" s="5">
        <f t="shared" si="18"/>
        <v>342000</v>
      </c>
    </row>
    <row r="1171" spans="1:9" x14ac:dyDescent="0.3">
      <c r="A1171" t="s">
        <v>410</v>
      </c>
      <c r="B1171" t="s">
        <v>43</v>
      </c>
      <c r="C1171" t="s">
        <v>14</v>
      </c>
      <c r="D1171" t="s">
        <v>31</v>
      </c>
      <c r="E1171">
        <v>116</v>
      </c>
      <c r="F1171" s="6">
        <v>1000</v>
      </c>
      <c r="G1171" s="6">
        <v>700</v>
      </c>
      <c r="H1171" s="6">
        <v>116000</v>
      </c>
      <c r="I1171" s="5">
        <f t="shared" si="18"/>
        <v>34800</v>
      </c>
    </row>
    <row r="1172" spans="1:9" x14ac:dyDescent="0.3">
      <c r="A1172" t="s">
        <v>381</v>
      </c>
      <c r="B1172" t="s">
        <v>40</v>
      </c>
      <c r="C1172" t="s">
        <v>10</v>
      </c>
      <c r="D1172" t="s">
        <v>11</v>
      </c>
      <c r="E1172">
        <v>55</v>
      </c>
      <c r="F1172" s="6">
        <v>3500</v>
      </c>
      <c r="G1172" s="6">
        <v>2500</v>
      </c>
      <c r="H1172" s="6">
        <v>192500</v>
      </c>
      <c r="I1172" s="5">
        <f t="shared" si="18"/>
        <v>55000</v>
      </c>
    </row>
    <row r="1173" spans="1:9" x14ac:dyDescent="0.3">
      <c r="A1173" t="s">
        <v>54</v>
      </c>
      <c r="B1173" t="s">
        <v>30</v>
      </c>
      <c r="C1173" t="s">
        <v>10</v>
      </c>
      <c r="D1173" t="s">
        <v>34</v>
      </c>
      <c r="E1173">
        <v>103</v>
      </c>
      <c r="F1173" s="6">
        <v>10000</v>
      </c>
      <c r="G1173" s="6">
        <v>7000</v>
      </c>
      <c r="H1173" s="6">
        <v>1030000</v>
      </c>
      <c r="I1173" s="5">
        <f t="shared" si="18"/>
        <v>309000</v>
      </c>
    </row>
    <row r="1174" spans="1:9" x14ac:dyDescent="0.3">
      <c r="A1174" t="s">
        <v>482</v>
      </c>
      <c r="B1174" t="s">
        <v>43</v>
      </c>
      <c r="C1174" t="s">
        <v>17</v>
      </c>
      <c r="D1174" t="s">
        <v>21</v>
      </c>
      <c r="E1174">
        <v>103</v>
      </c>
      <c r="F1174" s="6">
        <v>600</v>
      </c>
      <c r="G1174" s="6">
        <v>400</v>
      </c>
      <c r="H1174" s="6">
        <v>61800</v>
      </c>
      <c r="I1174" s="5">
        <f t="shared" si="18"/>
        <v>20600</v>
      </c>
    </row>
    <row r="1175" spans="1:9" x14ac:dyDescent="0.3">
      <c r="A1175" t="s">
        <v>41</v>
      </c>
      <c r="B1175" t="s">
        <v>30</v>
      </c>
      <c r="C1175" t="s">
        <v>17</v>
      </c>
      <c r="D1175" t="s">
        <v>15</v>
      </c>
      <c r="E1175">
        <v>57</v>
      </c>
      <c r="F1175" s="6">
        <v>4000</v>
      </c>
      <c r="G1175" s="6">
        <v>3000</v>
      </c>
      <c r="H1175" s="6">
        <v>228000</v>
      </c>
      <c r="I1175" s="5">
        <f t="shared" si="18"/>
        <v>57000</v>
      </c>
    </row>
    <row r="1176" spans="1:9" x14ac:dyDescent="0.3">
      <c r="A1176" t="s">
        <v>425</v>
      </c>
      <c r="B1176" t="s">
        <v>23</v>
      </c>
      <c r="C1176" t="s">
        <v>14</v>
      </c>
      <c r="D1176" t="s">
        <v>15</v>
      </c>
      <c r="E1176">
        <v>85</v>
      </c>
      <c r="F1176" s="6">
        <v>4000</v>
      </c>
      <c r="G1176" s="6">
        <v>3000</v>
      </c>
      <c r="H1176" s="6">
        <v>340000</v>
      </c>
      <c r="I1176" s="5">
        <f t="shared" si="18"/>
        <v>85000</v>
      </c>
    </row>
    <row r="1177" spans="1:9" x14ac:dyDescent="0.3">
      <c r="A1177" t="s">
        <v>440</v>
      </c>
      <c r="B1177" t="s">
        <v>9</v>
      </c>
      <c r="C1177" t="s">
        <v>10</v>
      </c>
      <c r="D1177" t="s">
        <v>11</v>
      </c>
      <c r="E1177">
        <v>117</v>
      </c>
      <c r="F1177" s="6">
        <v>3500</v>
      </c>
      <c r="G1177" s="6">
        <v>2500</v>
      </c>
      <c r="H1177" s="6">
        <v>409500</v>
      </c>
      <c r="I1177" s="5">
        <f t="shared" si="18"/>
        <v>117000</v>
      </c>
    </row>
    <row r="1178" spans="1:9" x14ac:dyDescent="0.3">
      <c r="A1178" t="s">
        <v>458</v>
      </c>
      <c r="B1178" t="s">
        <v>58</v>
      </c>
      <c r="C1178" t="s">
        <v>10</v>
      </c>
      <c r="D1178" t="s">
        <v>31</v>
      </c>
      <c r="E1178">
        <v>128</v>
      </c>
      <c r="F1178" s="6">
        <v>1000</v>
      </c>
      <c r="G1178" s="6">
        <v>700</v>
      </c>
      <c r="H1178" s="6">
        <v>128000</v>
      </c>
      <c r="I1178" s="5">
        <f t="shared" si="18"/>
        <v>38400</v>
      </c>
    </row>
    <row r="1179" spans="1:9" x14ac:dyDescent="0.3">
      <c r="A1179" t="s">
        <v>614</v>
      </c>
      <c r="B1179" t="s">
        <v>40</v>
      </c>
      <c r="C1179" t="s">
        <v>26</v>
      </c>
      <c r="D1179" t="s">
        <v>34</v>
      </c>
      <c r="E1179">
        <v>122</v>
      </c>
      <c r="F1179" s="6">
        <v>10000</v>
      </c>
      <c r="G1179" s="6">
        <v>7000</v>
      </c>
      <c r="H1179" s="6">
        <v>1220000</v>
      </c>
      <c r="I1179" s="5">
        <f t="shared" si="18"/>
        <v>366000</v>
      </c>
    </row>
    <row r="1180" spans="1:9" x14ac:dyDescent="0.3">
      <c r="A1180" t="s">
        <v>310</v>
      </c>
      <c r="B1180" t="s">
        <v>30</v>
      </c>
      <c r="C1180" t="s">
        <v>10</v>
      </c>
      <c r="D1180" t="s">
        <v>31</v>
      </c>
      <c r="E1180">
        <v>145</v>
      </c>
      <c r="F1180" s="6">
        <v>1000</v>
      </c>
      <c r="G1180" s="6">
        <v>700</v>
      </c>
      <c r="H1180" s="6">
        <v>145000</v>
      </c>
      <c r="I1180" s="5">
        <f t="shared" si="18"/>
        <v>43500</v>
      </c>
    </row>
    <row r="1181" spans="1:9" x14ac:dyDescent="0.3">
      <c r="A1181" t="s">
        <v>447</v>
      </c>
      <c r="B1181" t="s">
        <v>58</v>
      </c>
      <c r="C1181" t="s">
        <v>14</v>
      </c>
      <c r="D1181" t="s">
        <v>11</v>
      </c>
      <c r="E1181">
        <v>136</v>
      </c>
      <c r="F1181" s="6">
        <v>3500</v>
      </c>
      <c r="G1181" s="6">
        <v>2500</v>
      </c>
      <c r="H1181" s="6">
        <v>476000</v>
      </c>
      <c r="I1181" s="5">
        <f t="shared" si="18"/>
        <v>136000</v>
      </c>
    </row>
    <row r="1182" spans="1:9" x14ac:dyDescent="0.3">
      <c r="A1182" t="s">
        <v>292</v>
      </c>
      <c r="B1182" t="s">
        <v>13</v>
      </c>
      <c r="C1182" t="s">
        <v>17</v>
      </c>
      <c r="D1182" t="s">
        <v>21</v>
      </c>
      <c r="E1182">
        <v>142</v>
      </c>
      <c r="F1182" s="6">
        <v>600</v>
      </c>
      <c r="G1182" s="6">
        <v>400</v>
      </c>
      <c r="H1182" s="6">
        <v>85200</v>
      </c>
      <c r="I1182" s="5">
        <f t="shared" si="18"/>
        <v>28400</v>
      </c>
    </row>
    <row r="1183" spans="1:9" x14ac:dyDescent="0.3">
      <c r="A1183" t="s">
        <v>615</v>
      </c>
      <c r="B1183" t="s">
        <v>58</v>
      </c>
      <c r="C1183" t="s">
        <v>17</v>
      </c>
      <c r="D1183" t="s">
        <v>21</v>
      </c>
      <c r="E1183">
        <v>125</v>
      </c>
      <c r="F1183" s="6">
        <v>600</v>
      </c>
      <c r="G1183" s="6">
        <v>400</v>
      </c>
      <c r="H1183" s="6">
        <v>75000</v>
      </c>
      <c r="I1183" s="5">
        <f t="shared" si="18"/>
        <v>25000</v>
      </c>
    </row>
    <row r="1184" spans="1:9" x14ac:dyDescent="0.3">
      <c r="A1184" t="s">
        <v>296</v>
      </c>
      <c r="B1184" t="s">
        <v>30</v>
      </c>
      <c r="C1184" t="s">
        <v>17</v>
      </c>
      <c r="D1184" t="s">
        <v>11</v>
      </c>
      <c r="E1184">
        <v>70</v>
      </c>
      <c r="F1184" s="6">
        <v>3500</v>
      </c>
      <c r="G1184" s="6">
        <v>2500</v>
      </c>
      <c r="H1184" s="6">
        <v>245000</v>
      </c>
      <c r="I1184" s="5">
        <f t="shared" si="18"/>
        <v>70000</v>
      </c>
    </row>
    <row r="1185" spans="1:9" x14ac:dyDescent="0.3">
      <c r="A1185" t="s">
        <v>126</v>
      </c>
      <c r="B1185" t="s">
        <v>58</v>
      </c>
      <c r="C1185" t="s">
        <v>14</v>
      </c>
      <c r="D1185" t="s">
        <v>11</v>
      </c>
      <c r="E1185">
        <v>120</v>
      </c>
      <c r="F1185" s="6">
        <v>3500</v>
      </c>
      <c r="G1185" s="6">
        <v>2500</v>
      </c>
      <c r="H1185" s="6">
        <v>420000</v>
      </c>
      <c r="I1185" s="5">
        <f t="shared" si="18"/>
        <v>120000</v>
      </c>
    </row>
    <row r="1186" spans="1:9" x14ac:dyDescent="0.3">
      <c r="A1186" t="s">
        <v>381</v>
      </c>
      <c r="B1186" t="s">
        <v>9</v>
      </c>
      <c r="C1186" t="s">
        <v>17</v>
      </c>
      <c r="D1186" t="s">
        <v>34</v>
      </c>
      <c r="E1186">
        <v>142</v>
      </c>
      <c r="F1186" s="6">
        <v>10000</v>
      </c>
      <c r="G1186" s="6">
        <v>7000</v>
      </c>
      <c r="H1186" s="6">
        <v>1420000</v>
      </c>
      <c r="I1186" s="5">
        <f t="shared" si="18"/>
        <v>426000</v>
      </c>
    </row>
    <row r="1187" spans="1:9" x14ac:dyDescent="0.3">
      <c r="A1187" t="s">
        <v>616</v>
      </c>
      <c r="B1187" t="s">
        <v>36</v>
      </c>
      <c r="C1187" t="s">
        <v>26</v>
      </c>
      <c r="D1187" t="s">
        <v>24</v>
      </c>
      <c r="E1187">
        <v>62</v>
      </c>
      <c r="F1187" s="6">
        <v>1200</v>
      </c>
      <c r="G1187" s="6">
        <v>800</v>
      </c>
      <c r="H1187" s="6">
        <v>74400</v>
      </c>
      <c r="I1187" s="5">
        <f t="shared" si="18"/>
        <v>24800</v>
      </c>
    </row>
    <row r="1188" spans="1:9" x14ac:dyDescent="0.3">
      <c r="A1188" t="s">
        <v>128</v>
      </c>
      <c r="B1188" t="s">
        <v>28</v>
      </c>
      <c r="C1188" t="s">
        <v>17</v>
      </c>
      <c r="D1188" t="s">
        <v>34</v>
      </c>
      <c r="E1188">
        <v>104</v>
      </c>
      <c r="F1188" s="6">
        <v>10000</v>
      </c>
      <c r="G1188" s="6">
        <v>7000</v>
      </c>
      <c r="H1188" s="6">
        <v>1040000</v>
      </c>
      <c r="I1188" s="5">
        <f t="shared" si="18"/>
        <v>312000</v>
      </c>
    </row>
    <row r="1189" spans="1:9" x14ac:dyDescent="0.3">
      <c r="A1189" t="s">
        <v>474</v>
      </c>
      <c r="B1189" t="s">
        <v>23</v>
      </c>
      <c r="C1189" t="s">
        <v>26</v>
      </c>
      <c r="D1189" t="s">
        <v>15</v>
      </c>
      <c r="E1189">
        <v>81</v>
      </c>
      <c r="F1189" s="6">
        <v>4000</v>
      </c>
      <c r="G1189" s="6">
        <v>3000</v>
      </c>
      <c r="H1189" s="6">
        <v>324000</v>
      </c>
      <c r="I1189" s="5">
        <f t="shared" si="18"/>
        <v>81000</v>
      </c>
    </row>
    <row r="1190" spans="1:9" x14ac:dyDescent="0.3">
      <c r="A1190" t="s">
        <v>553</v>
      </c>
      <c r="B1190" t="s">
        <v>40</v>
      </c>
      <c r="C1190" t="s">
        <v>17</v>
      </c>
      <c r="D1190" t="s">
        <v>31</v>
      </c>
      <c r="E1190">
        <v>105</v>
      </c>
      <c r="F1190" s="6">
        <v>1000</v>
      </c>
      <c r="G1190" s="6">
        <v>700</v>
      </c>
      <c r="H1190" s="6">
        <v>105000</v>
      </c>
      <c r="I1190" s="5">
        <f t="shared" si="18"/>
        <v>31500</v>
      </c>
    </row>
    <row r="1191" spans="1:9" x14ac:dyDescent="0.3">
      <c r="A1191" t="s">
        <v>466</v>
      </c>
      <c r="B1191" t="s">
        <v>40</v>
      </c>
      <c r="C1191" t="s">
        <v>10</v>
      </c>
      <c r="D1191" t="s">
        <v>34</v>
      </c>
      <c r="E1191">
        <v>93</v>
      </c>
      <c r="F1191" s="6">
        <v>10000</v>
      </c>
      <c r="G1191" s="6">
        <v>7000</v>
      </c>
      <c r="H1191" s="6">
        <v>930000</v>
      </c>
      <c r="I1191" s="5">
        <f t="shared" si="18"/>
        <v>279000</v>
      </c>
    </row>
    <row r="1192" spans="1:9" x14ac:dyDescent="0.3">
      <c r="A1192" t="s">
        <v>544</v>
      </c>
      <c r="B1192" t="s">
        <v>40</v>
      </c>
      <c r="C1192" t="s">
        <v>17</v>
      </c>
      <c r="D1192" t="s">
        <v>21</v>
      </c>
      <c r="E1192">
        <v>143</v>
      </c>
      <c r="F1192" s="6">
        <v>600</v>
      </c>
      <c r="G1192" s="6">
        <v>400</v>
      </c>
      <c r="H1192" s="6">
        <v>85800</v>
      </c>
      <c r="I1192" s="5">
        <f t="shared" si="18"/>
        <v>28600</v>
      </c>
    </row>
    <row r="1193" spans="1:9" x14ac:dyDescent="0.3">
      <c r="A1193" t="s">
        <v>423</v>
      </c>
      <c r="B1193" t="s">
        <v>58</v>
      </c>
      <c r="C1193" t="s">
        <v>17</v>
      </c>
      <c r="D1193" t="s">
        <v>15</v>
      </c>
      <c r="E1193">
        <v>116</v>
      </c>
      <c r="F1193" s="6">
        <v>4000</v>
      </c>
      <c r="G1193" s="6">
        <v>3000</v>
      </c>
      <c r="H1193" s="6">
        <v>464000</v>
      </c>
      <c r="I1193" s="5">
        <f t="shared" si="18"/>
        <v>116000</v>
      </c>
    </row>
    <row r="1194" spans="1:9" x14ac:dyDescent="0.3">
      <c r="A1194" t="s">
        <v>546</v>
      </c>
      <c r="B1194" t="s">
        <v>13</v>
      </c>
      <c r="C1194" t="s">
        <v>14</v>
      </c>
      <c r="D1194" t="s">
        <v>15</v>
      </c>
      <c r="E1194">
        <v>146</v>
      </c>
      <c r="F1194" s="6">
        <v>4000</v>
      </c>
      <c r="G1194" s="6">
        <v>3000</v>
      </c>
      <c r="H1194" s="6">
        <v>584000</v>
      </c>
      <c r="I1194" s="5">
        <f t="shared" si="18"/>
        <v>146000</v>
      </c>
    </row>
    <row r="1195" spans="1:9" x14ac:dyDescent="0.3">
      <c r="A1195" t="s">
        <v>269</v>
      </c>
      <c r="B1195" t="s">
        <v>13</v>
      </c>
      <c r="C1195" t="s">
        <v>10</v>
      </c>
      <c r="D1195" t="s">
        <v>24</v>
      </c>
      <c r="E1195">
        <v>130</v>
      </c>
      <c r="F1195" s="6">
        <v>1200</v>
      </c>
      <c r="G1195" s="6">
        <v>800</v>
      </c>
      <c r="H1195" s="6">
        <v>156000</v>
      </c>
      <c r="I1195" s="5">
        <f t="shared" si="18"/>
        <v>52000</v>
      </c>
    </row>
    <row r="1196" spans="1:9" x14ac:dyDescent="0.3">
      <c r="A1196" t="s">
        <v>89</v>
      </c>
      <c r="B1196" t="s">
        <v>40</v>
      </c>
      <c r="C1196" t="s">
        <v>17</v>
      </c>
      <c r="D1196" t="s">
        <v>21</v>
      </c>
      <c r="E1196">
        <v>107</v>
      </c>
      <c r="F1196" s="6">
        <v>600</v>
      </c>
      <c r="G1196" s="6">
        <v>400</v>
      </c>
      <c r="H1196" s="6">
        <v>64200</v>
      </c>
      <c r="I1196" s="5">
        <f t="shared" si="18"/>
        <v>21400</v>
      </c>
    </row>
    <row r="1197" spans="1:9" x14ac:dyDescent="0.3">
      <c r="A1197" t="s">
        <v>617</v>
      </c>
      <c r="B1197" t="s">
        <v>9</v>
      </c>
      <c r="C1197" t="s">
        <v>10</v>
      </c>
      <c r="D1197" t="s">
        <v>11</v>
      </c>
      <c r="E1197">
        <v>62</v>
      </c>
      <c r="F1197" s="6">
        <v>3500</v>
      </c>
      <c r="G1197" s="6">
        <v>2500</v>
      </c>
      <c r="H1197" s="6">
        <v>217000</v>
      </c>
      <c r="I1197" s="5">
        <f t="shared" si="18"/>
        <v>62000</v>
      </c>
    </row>
    <row r="1198" spans="1:9" x14ac:dyDescent="0.3">
      <c r="A1198" t="s">
        <v>126</v>
      </c>
      <c r="B1198" t="s">
        <v>30</v>
      </c>
      <c r="C1198" t="s">
        <v>17</v>
      </c>
      <c r="D1198" t="s">
        <v>15</v>
      </c>
      <c r="E1198">
        <v>54</v>
      </c>
      <c r="F1198" s="6">
        <v>4000</v>
      </c>
      <c r="G1198" s="6">
        <v>3000</v>
      </c>
      <c r="H1198" s="6">
        <v>216000</v>
      </c>
      <c r="I1198" s="5">
        <f t="shared" si="18"/>
        <v>54000</v>
      </c>
    </row>
    <row r="1199" spans="1:9" x14ac:dyDescent="0.3">
      <c r="A1199" t="s">
        <v>350</v>
      </c>
      <c r="B1199" t="s">
        <v>43</v>
      </c>
      <c r="C1199" t="s">
        <v>26</v>
      </c>
      <c r="D1199" t="s">
        <v>18</v>
      </c>
      <c r="E1199">
        <v>85</v>
      </c>
      <c r="F1199" s="6">
        <v>6000</v>
      </c>
      <c r="G1199" s="6">
        <v>4000</v>
      </c>
      <c r="H1199" s="6">
        <v>510000</v>
      </c>
      <c r="I1199" s="5">
        <f t="shared" si="18"/>
        <v>170000</v>
      </c>
    </row>
    <row r="1200" spans="1:9" x14ac:dyDescent="0.3">
      <c r="A1200" t="s">
        <v>389</v>
      </c>
      <c r="B1200" t="s">
        <v>36</v>
      </c>
      <c r="C1200" t="s">
        <v>26</v>
      </c>
      <c r="D1200" t="s">
        <v>11</v>
      </c>
      <c r="E1200">
        <v>81</v>
      </c>
      <c r="F1200" s="6">
        <v>3500</v>
      </c>
      <c r="G1200" s="6">
        <v>2500</v>
      </c>
      <c r="H1200" s="6">
        <v>283500</v>
      </c>
      <c r="I1200" s="5">
        <f t="shared" si="18"/>
        <v>81000</v>
      </c>
    </row>
    <row r="1201" spans="1:9" x14ac:dyDescent="0.3">
      <c r="A1201" t="s">
        <v>460</v>
      </c>
      <c r="B1201" t="s">
        <v>23</v>
      </c>
      <c r="C1201" t="s">
        <v>14</v>
      </c>
      <c r="D1201" t="s">
        <v>31</v>
      </c>
      <c r="E1201">
        <v>62</v>
      </c>
      <c r="F1201" s="6">
        <v>1000</v>
      </c>
      <c r="G1201" s="6">
        <v>700</v>
      </c>
      <c r="H1201" s="6">
        <v>62000</v>
      </c>
      <c r="I1201" s="5">
        <f t="shared" si="18"/>
        <v>18600</v>
      </c>
    </row>
    <row r="1202" spans="1:9" x14ac:dyDescent="0.3">
      <c r="A1202" t="s">
        <v>357</v>
      </c>
      <c r="B1202" t="s">
        <v>40</v>
      </c>
      <c r="C1202" t="s">
        <v>17</v>
      </c>
      <c r="D1202" t="s">
        <v>21</v>
      </c>
      <c r="E1202">
        <v>125</v>
      </c>
      <c r="F1202" s="6">
        <v>600</v>
      </c>
      <c r="G1202" s="6">
        <v>400</v>
      </c>
      <c r="H1202" s="6">
        <v>75000</v>
      </c>
      <c r="I1202" s="5">
        <f t="shared" si="18"/>
        <v>25000</v>
      </c>
    </row>
    <row r="1203" spans="1:9" x14ac:dyDescent="0.3">
      <c r="A1203" t="s">
        <v>161</v>
      </c>
      <c r="B1203" t="s">
        <v>20</v>
      </c>
      <c r="C1203" t="s">
        <v>26</v>
      </c>
      <c r="D1203" t="s">
        <v>31</v>
      </c>
      <c r="E1203">
        <v>115</v>
      </c>
      <c r="F1203" s="6">
        <v>1000</v>
      </c>
      <c r="G1203" s="6">
        <v>700</v>
      </c>
      <c r="H1203" s="6">
        <v>115000</v>
      </c>
      <c r="I1203" s="5">
        <f t="shared" si="18"/>
        <v>34500</v>
      </c>
    </row>
    <row r="1204" spans="1:9" x14ac:dyDescent="0.3">
      <c r="A1204" t="s">
        <v>559</v>
      </c>
      <c r="B1204" t="s">
        <v>20</v>
      </c>
      <c r="C1204" t="s">
        <v>17</v>
      </c>
      <c r="D1204" t="s">
        <v>11</v>
      </c>
      <c r="E1204">
        <v>120</v>
      </c>
      <c r="F1204" s="6">
        <v>3500</v>
      </c>
      <c r="G1204" s="6">
        <v>2500</v>
      </c>
      <c r="H1204" s="6">
        <v>420000</v>
      </c>
      <c r="I1204" s="5">
        <f t="shared" si="18"/>
        <v>120000</v>
      </c>
    </row>
    <row r="1205" spans="1:9" x14ac:dyDescent="0.3">
      <c r="A1205" t="s">
        <v>101</v>
      </c>
      <c r="B1205" t="s">
        <v>20</v>
      </c>
      <c r="C1205" t="s">
        <v>17</v>
      </c>
      <c r="D1205" t="s">
        <v>34</v>
      </c>
      <c r="E1205">
        <v>67</v>
      </c>
      <c r="F1205" s="6">
        <v>10000</v>
      </c>
      <c r="G1205" s="6">
        <v>7000</v>
      </c>
      <c r="H1205" s="6">
        <v>670000</v>
      </c>
      <c r="I1205" s="5">
        <f t="shared" si="18"/>
        <v>201000</v>
      </c>
    </row>
    <row r="1206" spans="1:9" x14ac:dyDescent="0.3">
      <c r="A1206" t="s">
        <v>298</v>
      </c>
      <c r="B1206" t="s">
        <v>36</v>
      </c>
      <c r="C1206" t="s">
        <v>14</v>
      </c>
      <c r="D1206" t="s">
        <v>15</v>
      </c>
      <c r="E1206">
        <v>74</v>
      </c>
      <c r="F1206" s="6">
        <v>4000</v>
      </c>
      <c r="G1206" s="6">
        <v>3000</v>
      </c>
      <c r="H1206" s="6">
        <v>296000</v>
      </c>
      <c r="I1206" s="5">
        <f t="shared" si="18"/>
        <v>74000</v>
      </c>
    </row>
    <row r="1207" spans="1:9" x14ac:dyDescent="0.3">
      <c r="A1207" t="s">
        <v>33</v>
      </c>
      <c r="B1207" t="s">
        <v>20</v>
      </c>
      <c r="C1207" t="s">
        <v>17</v>
      </c>
      <c r="D1207" t="s">
        <v>31</v>
      </c>
      <c r="E1207">
        <v>98</v>
      </c>
      <c r="F1207" s="6">
        <v>1000</v>
      </c>
      <c r="G1207" s="6">
        <v>700</v>
      </c>
      <c r="H1207" s="6">
        <v>98000</v>
      </c>
      <c r="I1207" s="5">
        <f t="shared" si="18"/>
        <v>29400</v>
      </c>
    </row>
    <row r="1208" spans="1:9" x14ac:dyDescent="0.3">
      <c r="A1208" t="s">
        <v>618</v>
      </c>
      <c r="B1208" t="s">
        <v>36</v>
      </c>
      <c r="C1208" t="s">
        <v>26</v>
      </c>
      <c r="D1208" t="s">
        <v>31</v>
      </c>
      <c r="E1208">
        <v>97</v>
      </c>
      <c r="F1208" s="6">
        <v>1000</v>
      </c>
      <c r="G1208" s="6">
        <v>700</v>
      </c>
      <c r="H1208" s="6">
        <v>97000</v>
      </c>
      <c r="I1208" s="5">
        <f t="shared" si="18"/>
        <v>29100</v>
      </c>
    </row>
    <row r="1209" spans="1:9" x14ac:dyDescent="0.3">
      <c r="A1209" t="s">
        <v>143</v>
      </c>
      <c r="B1209" t="s">
        <v>43</v>
      </c>
      <c r="C1209" t="s">
        <v>10</v>
      </c>
      <c r="D1209" t="s">
        <v>18</v>
      </c>
      <c r="E1209">
        <v>128</v>
      </c>
      <c r="F1209" s="6">
        <v>6000</v>
      </c>
      <c r="G1209" s="6">
        <v>4000</v>
      </c>
      <c r="H1209" s="6">
        <v>768000</v>
      </c>
      <c r="I1209" s="5">
        <f t="shared" si="18"/>
        <v>256000</v>
      </c>
    </row>
    <row r="1210" spans="1:9" x14ac:dyDescent="0.3">
      <c r="A1210" t="s">
        <v>185</v>
      </c>
      <c r="B1210" t="s">
        <v>13</v>
      </c>
      <c r="C1210" t="s">
        <v>17</v>
      </c>
      <c r="D1210" t="s">
        <v>31</v>
      </c>
      <c r="E1210">
        <v>66</v>
      </c>
      <c r="F1210" s="6">
        <v>1000</v>
      </c>
      <c r="G1210" s="6">
        <v>700</v>
      </c>
      <c r="H1210" s="6">
        <v>66000</v>
      </c>
      <c r="I1210" s="5">
        <f t="shared" si="18"/>
        <v>19800</v>
      </c>
    </row>
    <row r="1211" spans="1:9" x14ac:dyDescent="0.3">
      <c r="A1211" t="s">
        <v>394</v>
      </c>
      <c r="B1211" t="s">
        <v>20</v>
      </c>
      <c r="C1211" t="s">
        <v>10</v>
      </c>
      <c r="D1211" t="s">
        <v>21</v>
      </c>
      <c r="E1211">
        <v>140</v>
      </c>
      <c r="F1211" s="6">
        <v>600</v>
      </c>
      <c r="G1211" s="6">
        <v>400</v>
      </c>
      <c r="H1211" s="6">
        <v>84000</v>
      </c>
      <c r="I1211" s="5">
        <f t="shared" si="18"/>
        <v>28000</v>
      </c>
    </row>
    <row r="1212" spans="1:9" x14ac:dyDescent="0.3">
      <c r="A1212" t="s">
        <v>171</v>
      </c>
      <c r="B1212" t="s">
        <v>36</v>
      </c>
      <c r="C1212" t="s">
        <v>10</v>
      </c>
      <c r="D1212" t="s">
        <v>31</v>
      </c>
      <c r="E1212">
        <v>82</v>
      </c>
      <c r="F1212" s="6">
        <v>1000</v>
      </c>
      <c r="G1212" s="6">
        <v>700</v>
      </c>
      <c r="H1212" s="6">
        <v>82000</v>
      </c>
      <c r="I1212" s="5">
        <f t="shared" si="18"/>
        <v>24600</v>
      </c>
    </row>
    <row r="1213" spans="1:9" x14ac:dyDescent="0.3">
      <c r="A1213" t="s">
        <v>619</v>
      </c>
      <c r="B1213" t="s">
        <v>28</v>
      </c>
      <c r="C1213" t="s">
        <v>14</v>
      </c>
      <c r="D1213" t="s">
        <v>21</v>
      </c>
      <c r="E1213">
        <v>129</v>
      </c>
      <c r="F1213" s="6">
        <v>600</v>
      </c>
      <c r="G1213" s="6">
        <v>400</v>
      </c>
      <c r="H1213" s="6">
        <v>77400</v>
      </c>
      <c r="I1213" s="5">
        <f t="shared" si="18"/>
        <v>25800</v>
      </c>
    </row>
    <row r="1214" spans="1:9" x14ac:dyDescent="0.3">
      <c r="A1214" t="s">
        <v>175</v>
      </c>
      <c r="B1214" t="s">
        <v>13</v>
      </c>
      <c r="C1214" t="s">
        <v>10</v>
      </c>
      <c r="D1214" t="s">
        <v>11</v>
      </c>
      <c r="E1214">
        <v>61</v>
      </c>
      <c r="F1214" s="6">
        <v>3500</v>
      </c>
      <c r="G1214" s="6">
        <v>2500</v>
      </c>
      <c r="H1214" s="6">
        <v>213500</v>
      </c>
      <c r="I1214" s="5">
        <f t="shared" si="18"/>
        <v>61000</v>
      </c>
    </row>
    <row r="1215" spans="1:9" x14ac:dyDescent="0.3">
      <c r="A1215" t="s">
        <v>114</v>
      </c>
      <c r="B1215" t="s">
        <v>23</v>
      </c>
      <c r="C1215" t="s">
        <v>10</v>
      </c>
      <c r="D1215" t="s">
        <v>31</v>
      </c>
      <c r="E1215">
        <v>54</v>
      </c>
      <c r="F1215" s="6">
        <v>1000</v>
      </c>
      <c r="G1215" s="6">
        <v>700</v>
      </c>
      <c r="H1215" s="6">
        <v>54000</v>
      </c>
      <c r="I1215" s="5">
        <f t="shared" si="18"/>
        <v>16200</v>
      </c>
    </row>
    <row r="1216" spans="1:9" x14ac:dyDescent="0.3">
      <c r="A1216" t="s">
        <v>602</v>
      </c>
      <c r="B1216" t="s">
        <v>9</v>
      </c>
      <c r="C1216" t="s">
        <v>10</v>
      </c>
      <c r="D1216" t="s">
        <v>11</v>
      </c>
      <c r="E1216">
        <v>71</v>
      </c>
      <c r="F1216" s="6">
        <v>3500</v>
      </c>
      <c r="G1216" s="6">
        <v>2500</v>
      </c>
      <c r="H1216" s="6">
        <v>248500</v>
      </c>
      <c r="I1216" s="5">
        <f t="shared" si="18"/>
        <v>71000</v>
      </c>
    </row>
    <row r="1217" spans="1:9" x14ac:dyDescent="0.3">
      <c r="A1217" t="s">
        <v>567</v>
      </c>
      <c r="B1217" t="s">
        <v>28</v>
      </c>
      <c r="C1217" t="s">
        <v>17</v>
      </c>
      <c r="D1217" t="s">
        <v>21</v>
      </c>
      <c r="E1217">
        <v>140</v>
      </c>
      <c r="F1217" s="6">
        <v>600</v>
      </c>
      <c r="G1217" s="6">
        <v>400</v>
      </c>
      <c r="H1217" s="6">
        <v>84000</v>
      </c>
      <c r="I1217" s="5">
        <f t="shared" si="18"/>
        <v>28000</v>
      </c>
    </row>
    <row r="1218" spans="1:9" x14ac:dyDescent="0.3">
      <c r="A1218" t="s">
        <v>401</v>
      </c>
      <c r="B1218" t="s">
        <v>20</v>
      </c>
      <c r="C1218" t="s">
        <v>26</v>
      </c>
      <c r="D1218" t="s">
        <v>34</v>
      </c>
      <c r="E1218">
        <v>77</v>
      </c>
      <c r="F1218" s="6">
        <v>10000</v>
      </c>
      <c r="G1218" s="6">
        <v>7000</v>
      </c>
      <c r="H1218" s="6">
        <v>770000</v>
      </c>
      <c r="I1218" s="5">
        <f t="shared" ref="I1218:I1281" si="19">H1218-(G1218*E1218)</f>
        <v>231000</v>
      </c>
    </row>
    <row r="1219" spans="1:9" x14ac:dyDescent="0.3">
      <c r="A1219" t="s">
        <v>309</v>
      </c>
      <c r="B1219" t="s">
        <v>28</v>
      </c>
      <c r="C1219" t="s">
        <v>17</v>
      </c>
      <c r="D1219" t="s">
        <v>11</v>
      </c>
      <c r="E1219">
        <v>102</v>
      </c>
      <c r="F1219" s="6">
        <v>3500</v>
      </c>
      <c r="G1219" s="6">
        <v>2500</v>
      </c>
      <c r="H1219" s="6">
        <v>357000</v>
      </c>
      <c r="I1219" s="5">
        <f t="shared" si="19"/>
        <v>102000</v>
      </c>
    </row>
    <row r="1220" spans="1:9" x14ac:dyDescent="0.3">
      <c r="A1220" t="s">
        <v>452</v>
      </c>
      <c r="B1220" t="s">
        <v>20</v>
      </c>
      <c r="C1220" t="s">
        <v>14</v>
      </c>
      <c r="D1220" t="s">
        <v>34</v>
      </c>
      <c r="E1220">
        <v>146</v>
      </c>
      <c r="F1220" s="6">
        <v>10000</v>
      </c>
      <c r="G1220" s="6">
        <v>7000</v>
      </c>
      <c r="H1220" s="6">
        <v>1460000</v>
      </c>
      <c r="I1220" s="5">
        <f t="shared" si="19"/>
        <v>438000</v>
      </c>
    </row>
    <row r="1221" spans="1:9" x14ac:dyDescent="0.3">
      <c r="A1221" t="s">
        <v>449</v>
      </c>
      <c r="B1221" t="s">
        <v>9</v>
      </c>
      <c r="C1221" t="s">
        <v>26</v>
      </c>
      <c r="D1221" t="s">
        <v>31</v>
      </c>
      <c r="E1221">
        <v>129</v>
      </c>
      <c r="F1221" s="6">
        <v>1000</v>
      </c>
      <c r="G1221" s="6">
        <v>700</v>
      </c>
      <c r="H1221" s="6">
        <v>129000</v>
      </c>
      <c r="I1221" s="5">
        <f t="shared" si="19"/>
        <v>38700</v>
      </c>
    </row>
    <row r="1222" spans="1:9" x14ac:dyDescent="0.3">
      <c r="A1222" t="s">
        <v>620</v>
      </c>
      <c r="B1222" t="s">
        <v>20</v>
      </c>
      <c r="C1222" t="s">
        <v>14</v>
      </c>
      <c r="D1222" t="s">
        <v>24</v>
      </c>
      <c r="E1222">
        <v>66</v>
      </c>
      <c r="F1222" s="6">
        <v>1200</v>
      </c>
      <c r="G1222" s="6">
        <v>800</v>
      </c>
      <c r="H1222" s="6">
        <v>79200</v>
      </c>
      <c r="I1222" s="5">
        <f t="shared" si="19"/>
        <v>26400</v>
      </c>
    </row>
    <row r="1223" spans="1:9" x14ac:dyDescent="0.3">
      <c r="A1223" t="s">
        <v>99</v>
      </c>
      <c r="B1223" t="s">
        <v>58</v>
      </c>
      <c r="C1223" t="s">
        <v>10</v>
      </c>
      <c r="D1223" t="s">
        <v>11</v>
      </c>
      <c r="E1223">
        <v>111</v>
      </c>
      <c r="F1223" s="6">
        <v>3500</v>
      </c>
      <c r="G1223" s="6">
        <v>2500</v>
      </c>
      <c r="H1223" s="6">
        <v>388500</v>
      </c>
      <c r="I1223" s="5">
        <f t="shared" si="19"/>
        <v>111000</v>
      </c>
    </row>
    <row r="1224" spans="1:9" x14ac:dyDescent="0.3">
      <c r="A1224" t="s">
        <v>91</v>
      </c>
      <c r="B1224" t="s">
        <v>13</v>
      </c>
      <c r="C1224" t="s">
        <v>14</v>
      </c>
      <c r="D1224" t="s">
        <v>15</v>
      </c>
      <c r="E1224">
        <v>95</v>
      </c>
      <c r="F1224" s="6">
        <v>4000</v>
      </c>
      <c r="G1224" s="6">
        <v>3000</v>
      </c>
      <c r="H1224" s="6">
        <v>380000</v>
      </c>
      <c r="I1224" s="5">
        <f t="shared" si="19"/>
        <v>95000</v>
      </c>
    </row>
    <row r="1225" spans="1:9" x14ac:dyDescent="0.3">
      <c r="A1225" t="s">
        <v>557</v>
      </c>
      <c r="B1225" t="s">
        <v>28</v>
      </c>
      <c r="C1225" t="s">
        <v>17</v>
      </c>
      <c r="D1225" t="s">
        <v>31</v>
      </c>
      <c r="E1225">
        <v>141</v>
      </c>
      <c r="F1225" s="6">
        <v>1000</v>
      </c>
      <c r="G1225" s="6">
        <v>700</v>
      </c>
      <c r="H1225" s="6">
        <v>141000</v>
      </c>
      <c r="I1225" s="5">
        <f t="shared" si="19"/>
        <v>42300</v>
      </c>
    </row>
    <row r="1226" spans="1:9" x14ac:dyDescent="0.3">
      <c r="A1226" t="s">
        <v>143</v>
      </c>
      <c r="B1226" t="s">
        <v>20</v>
      </c>
      <c r="C1226" t="s">
        <v>26</v>
      </c>
      <c r="D1226" t="s">
        <v>21</v>
      </c>
      <c r="E1226">
        <v>111</v>
      </c>
      <c r="F1226" s="6">
        <v>600</v>
      </c>
      <c r="G1226" s="6">
        <v>400</v>
      </c>
      <c r="H1226" s="6">
        <v>66600</v>
      </c>
      <c r="I1226" s="5">
        <f t="shared" si="19"/>
        <v>22200</v>
      </c>
    </row>
    <row r="1227" spans="1:9" x14ac:dyDescent="0.3">
      <c r="A1227" t="s">
        <v>479</v>
      </c>
      <c r="B1227" t="s">
        <v>23</v>
      </c>
      <c r="C1227" t="s">
        <v>17</v>
      </c>
      <c r="D1227" t="s">
        <v>24</v>
      </c>
      <c r="E1227">
        <v>60</v>
      </c>
      <c r="F1227" s="6">
        <v>1200</v>
      </c>
      <c r="G1227" s="6">
        <v>800</v>
      </c>
      <c r="H1227" s="6">
        <v>72000</v>
      </c>
      <c r="I1227" s="5">
        <f t="shared" si="19"/>
        <v>24000</v>
      </c>
    </row>
    <row r="1228" spans="1:9" x14ac:dyDescent="0.3">
      <c r="A1228" t="s">
        <v>144</v>
      </c>
      <c r="B1228" t="s">
        <v>40</v>
      </c>
      <c r="C1228" t="s">
        <v>10</v>
      </c>
      <c r="D1228" t="s">
        <v>24</v>
      </c>
      <c r="E1228">
        <v>146</v>
      </c>
      <c r="F1228" s="6">
        <v>1200</v>
      </c>
      <c r="G1228" s="6">
        <v>800</v>
      </c>
      <c r="H1228" s="6">
        <v>175200</v>
      </c>
      <c r="I1228" s="5">
        <f t="shared" si="19"/>
        <v>58400</v>
      </c>
    </row>
    <row r="1229" spans="1:9" x14ac:dyDescent="0.3">
      <c r="A1229" t="s">
        <v>432</v>
      </c>
      <c r="B1229" t="s">
        <v>40</v>
      </c>
      <c r="C1229" t="s">
        <v>17</v>
      </c>
      <c r="D1229" t="s">
        <v>24</v>
      </c>
      <c r="E1229">
        <v>100</v>
      </c>
      <c r="F1229" s="6">
        <v>1200</v>
      </c>
      <c r="G1229" s="6">
        <v>800</v>
      </c>
      <c r="H1229" s="6">
        <v>120000</v>
      </c>
      <c r="I1229" s="5">
        <f t="shared" si="19"/>
        <v>40000</v>
      </c>
    </row>
    <row r="1230" spans="1:9" x14ac:dyDescent="0.3">
      <c r="A1230" t="s">
        <v>621</v>
      </c>
      <c r="B1230" t="s">
        <v>36</v>
      </c>
      <c r="C1230" t="s">
        <v>17</v>
      </c>
      <c r="D1230" t="s">
        <v>15</v>
      </c>
      <c r="E1230">
        <v>137</v>
      </c>
      <c r="F1230" s="6">
        <v>4000</v>
      </c>
      <c r="G1230" s="6">
        <v>3000</v>
      </c>
      <c r="H1230" s="6">
        <v>548000</v>
      </c>
      <c r="I1230" s="5">
        <f t="shared" si="19"/>
        <v>137000</v>
      </c>
    </row>
    <row r="1231" spans="1:9" x14ac:dyDescent="0.3">
      <c r="A1231" t="s">
        <v>463</v>
      </c>
      <c r="B1231" t="s">
        <v>23</v>
      </c>
      <c r="C1231" t="s">
        <v>17</v>
      </c>
      <c r="D1231" t="s">
        <v>18</v>
      </c>
      <c r="E1231">
        <v>60</v>
      </c>
      <c r="F1231" s="6">
        <v>6000</v>
      </c>
      <c r="G1231" s="6">
        <v>4000</v>
      </c>
      <c r="H1231" s="6">
        <v>360000</v>
      </c>
      <c r="I1231" s="5">
        <f t="shared" si="19"/>
        <v>120000</v>
      </c>
    </row>
    <row r="1232" spans="1:9" x14ac:dyDescent="0.3">
      <c r="A1232" t="s">
        <v>405</v>
      </c>
      <c r="B1232" t="s">
        <v>20</v>
      </c>
      <c r="C1232" t="s">
        <v>26</v>
      </c>
      <c r="D1232" t="s">
        <v>24</v>
      </c>
      <c r="E1232">
        <v>108</v>
      </c>
      <c r="F1232" s="6">
        <v>1200</v>
      </c>
      <c r="G1232" s="6">
        <v>800</v>
      </c>
      <c r="H1232" s="6">
        <v>129600</v>
      </c>
      <c r="I1232" s="5">
        <f t="shared" si="19"/>
        <v>43200</v>
      </c>
    </row>
    <row r="1233" spans="1:9" x14ac:dyDescent="0.3">
      <c r="A1233" t="s">
        <v>499</v>
      </c>
      <c r="B1233" t="s">
        <v>28</v>
      </c>
      <c r="C1233" t="s">
        <v>14</v>
      </c>
      <c r="D1233" t="s">
        <v>31</v>
      </c>
      <c r="E1233">
        <v>118</v>
      </c>
      <c r="F1233" s="6">
        <v>1000</v>
      </c>
      <c r="G1233" s="6">
        <v>700</v>
      </c>
      <c r="H1233" s="6">
        <v>118000</v>
      </c>
      <c r="I1233" s="5">
        <f t="shared" si="19"/>
        <v>35400</v>
      </c>
    </row>
    <row r="1234" spans="1:9" x14ac:dyDescent="0.3">
      <c r="A1234" t="s">
        <v>604</v>
      </c>
      <c r="B1234" t="s">
        <v>20</v>
      </c>
      <c r="C1234" t="s">
        <v>14</v>
      </c>
      <c r="D1234" t="s">
        <v>24</v>
      </c>
      <c r="E1234">
        <v>109</v>
      </c>
      <c r="F1234" s="6">
        <v>1200</v>
      </c>
      <c r="G1234" s="6">
        <v>800</v>
      </c>
      <c r="H1234" s="6">
        <v>130800</v>
      </c>
      <c r="I1234" s="5">
        <f t="shared" si="19"/>
        <v>43600</v>
      </c>
    </row>
    <row r="1235" spans="1:9" x14ac:dyDescent="0.3">
      <c r="A1235" t="s">
        <v>56</v>
      </c>
      <c r="B1235" t="s">
        <v>13</v>
      </c>
      <c r="C1235" t="s">
        <v>26</v>
      </c>
      <c r="D1235" t="s">
        <v>18</v>
      </c>
      <c r="E1235">
        <v>82</v>
      </c>
      <c r="F1235" s="6">
        <v>6000</v>
      </c>
      <c r="G1235" s="6">
        <v>4000</v>
      </c>
      <c r="H1235" s="6">
        <v>492000</v>
      </c>
      <c r="I1235" s="5">
        <f t="shared" si="19"/>
        <v>164000</v>
      </c>
    </row>
    <row r="1236" spans="1:9" x14ac:dyDescent="0.3">
      <c r="A1236" t="s">
        <v>115</v>
      </c>
      <c r="B1236" t="s">
        <v>30</v>
      </c>
      <c r="C1236" t="s">
        <v>14</v>
      </c>
      <c r="D1236" t="s">
        <v>21</v>
      </c>
      <c r="E1236">
        <v>94</v>
      </c>
      <c r="F1236" s="6">
        <v>600</v>
      </c>
      <c r="G1236" s="6">
        <v>400</v>
      </c>
      <c r="H1236" s="6">
        <v>56400</v>
      </c>
      <c r="I1236" s="5">
        <f t="shared" si="19"/>
        <v>18800</v>
      </c>
    </row>
    <row r="1237" spans="1:9" x14ac:dyDescent="0.3">
      <c r="A1237" t="s">
        <v>488</v>
      </c>
      <c r="B1237" t="s">
        <v>36</v>
      </c>
      <c r="C1237" t="s">
        <v>26</v>
      </c>
      <c r="D1237" t="s">
        <v>11</v>
      </c>
      <c r="E1237">
        <v>61</v>
      </c>
      <c r="F1237" s="6">
        <v>3500</v>
      </c>
      <c r="G1237" s="6">
        <v>2500</v>
      </c>
      <c r="H1237" s="6">
        <v>213500</v>
      </c>
      <c r="I1237" s="5">
        <f t="shared" si="19"/>
        <v>61000</v>
      </c>
    </row>
    <row r="1238" spans="1:9" x14ac:dyDescent="0.3">
      <c r="A1238" t="s">
        <v>611</v>
      </c>
      <c r="B1238" t="s">
        <v>43</v>
      </c>
      <c r="C1238" t="s">
        <v>14</v>
      </c>
      <c r="D1238" t="s">
        <v>21</v>
      </c>
      <c r="E1238">
        <v>74</v>
      </c>
      <c r="F1238" s="6">
        <v>600</v>
      </c>
      <c r="G1238" s="6">
        <v>400</v>
      </c>
      <c r="H1238" s="6">
        <v>44400</v>
      </c>
      <c r="I1238" s="5">
        <f t="shared" si="19"/>
        <v>14800</v>
      </c>
    </row>
    <row r="1239" spans="1:9" x14ac:dyDescent="0.3">
      <c r="A1239" t="s">
        <v>184</v>
      </c>
      <c r="B1239" t="s">
        <v>40</v>
      </c>
      <c r="C1239" t="s">
        <v>10</v>
      </c>
      <c r="D1239" t="s">
        <v>21</v>
      </c>
      <c r="E1239">
        <v>66</v>
      </c>
      <c r="F1239" s="6">
        <v>600</v>
      </c>
      <c r="G1239" s="6">
        <v>400</v>
      </c>
      <c r="H1239" s="6">
        <v>39600</v>
      </c>
      <c r="I1239" s="5">
        <f t="shared" si="19"/>
        <v>13200</v>
      </c>
    </row>
    <row r="1240" spans="1:9" x14ac:dyDescent="0.3">
      <c r="A1240" t="s">
        <v>328</v>
      </c>
      <c r="B1240" t="s">
        <v>9</v>
      </c>
      <c r="C1240" t="s">
        <v>10</v>
      </c>
      <c r="D1240" t="s">
        <v>21</v>
      </c>
      <c r="E1240">
        <v>91</v>
      </c>
      <c r="F1240" s="6">
        <v>600</v>
      </c>
      <c r="G1240" s="6">
        <v>400</v>
      </c>
      <c r="H1240" s="6">
        <v>54600</v>
      </c>
      <c r="I1240" s="5">
        <f t="shared" si="19"/>
        <v>18200</v>
      </c>
    </row>
    <row r="1241" spans="1:9" x14ac:dyDescent="0.3">
      <c r="A1241" t="s">
        <v>414</v>
      </c>
      <c r="B1241" t="s">
        <v>30</v>
      </c>
      <c r="C1241" t="s">
        <v>14</v>
      </c>
      <c r="D1241" t="s">
        <v>11</v>
      </c>
      <c r="E1241">
        <v>103</v>
      </c>
      <c r="F1241" s="6">
        <v>3500</v>
      </c>
      <c r="G1241" s="6">
        <v>2500</v>
      </c>
      <c r="H1241" s="6">
        <v>360500</v>
      </c>
      <c r="I1241" s="5">
        <f t="shared" si="19"/>
        <v>103000</v>
      </c>
    </row>
    <row r="1242" spans="1:9" x14ac:dyDescent="0.3">
      <c r="A1242" t="s">
        <v>622</v>
      </c>
      <c r="B1242" t="s">
        <v>36</v>
      </c>
      <c r="C1242" t="s">
        <v>17</v>
      </c>
      <c r="D1242" t="s">
        <v>18</v>
      </c>
      <c r="E1242">
        <v>89</v>
      </c>
      <c r="F1242" s="6">
        <v>6000</v>
      </c>
      <c r="G1242" s="6">
        <v>4000</v>
      </c>
      <c r="H1242" s="6">
        <v>534000</v>
      </c>
      <c r="I1242" s="5">
        <f t="shared" si="19"/>
        <v>178000</v>
      </c>
    </row>
    <row r="1243" spans="1:9" x14ac:dyDescent="0.3">
      <c r="A1243" t="s">
        <v>444</v>
      </c>
      <c r="B1243" t="s">
        <v>28</v>
      </c>
      <c r="C1243" t="s">
        <v>10</v>
      </c>
      <c r="D1243" t="s">
        <v>21</v>
      </c>
      <c r="E1243">
        <v>145</v>
      </c>
      <c r="F1243" s="6">
        <v>600</v>
      </c>
      <c r="G1243" s="6">
        <v>400</v>
      </c>
      <c r="H1243" s="6">
        <v>87000</v>
      </c>
      <c r="I1243" s="5">
        <f t="shared" si="19"/>
        <v>29000</v>
      </c>
    </row>
    <row r="1244" spans="1:9" x14ac:dyDescent="0.3">
      <c r="A1244" t="s">
        <v>593</v>
      </c>
      <c r="B1244" t="s">
        <v>36</v>
      </c>
      <c r="C1244" t="s">
        <v>10</v>
      </c>
      <c r="D1244" t="s">
        <v>21</v>
      </c>
      <c r="E1244">
        <v>117</v>
      </c>
      <c r="F1244" s="6">
        <v>600</v>
      </c>
      <c r="G1244" s="6">
        <v>400</v>
      </c>
      <c r="H1244" s="6">
        <v>70200</v>
      </c>
      <c r="I1244" s="5">
        <f t="shared" si="19"/>
        <v>23400</v>
      </c>
    </row>
    <row r="1245" spans="1:9" x14ac:dyDescent="0.3">
      <c r="A1245" t="s">
        <v>338</v>
      </c>
      <c r="B1245" t="s">
        <v>36</v>
      </c>
      <c r="C1245" t="s">
        <v>26</v>
      </c>
      <c r="D1245" t="s">
        <v>34</v>
      </c>
      <c r="E1245">
        <v>84</v>
      </c>
      <c r="F1245" s="6">
        <v>10000</v>
      </c>
      <c r="G1245" s="6">
        <v>7000</v>
      </c>
      <c r="H1245" s="6">
        <v>840000</v>
      </c>
      <c r="I1245" s="5">
        <f t="shared" si="19"/>
        <v>252000</v>
      </c>
    </row>
    <row r="1246" spans="1:9" x14ac:dyDescent="0.3">
      <c r="A1246" t="s">
        <v>578</v>
      </c>
      <c r="B1246" t="s">
        <v>40</v>
      </c>
      <c r="C1246" t="s">
        <v>26</v>
      </c>
      <c r="D1246" t="s">
        <v>21</v>
      </c>
      <c r="E1246">
        <v>95</v>
      </c>
      <c r="F1246" s="6">
        <v>600</v>
      </c>
      <c r="G1246" s="6">
        <v>400</v>
      </c>
      <c r="H1246" s="6">
        <v>57000</v>
      </c>
      <c r="I1246" s="5">
        <f t="shared" si="19"/>
        <v>19000</v>
      </c>
    </row>
    <row r="1247" spans="1:9" x14ac:dyDescent="0.3">
      <c r="A1247" t="s">
        <v>129</v>
      </c>
      <c r="B1247" t="s">
        <v>28</v>
      </c>
      <c r="C1247" t="s">
        <v>26</v>
      </c>
      <c r="D1247" t="s">
        <v>18</v>
      </c>
      <c r="E1247">
        <v>147</v>
      </c>
      <c r="F1247" s="6">
        <v>6000</v>
      </c>
      <c r="G1247" s="6">
        <v>4000</v>
      </c>
      <c r="H1247" s="6">
        <v>882000</v>
      </c>
      <c r="I1247" s="5">
        <f t="shared" si="19"/>
        <v>294000</v>
      </c>
    </row>
    <row r="1248" spans="1:9" x14ac:dyDescent="0.3">
      <c r="A1248" t="s">
        <v>160</v>
      </c>
      <c r="B1248" t="s">
        <v>9</v>
      </c>
      <c r="C1248" t="s">
        <v>10</v>
      </c>
      <c r="D1248" t="s">
        <v>18</v>
      </c>
      <c r="E1248">
        <v>117</v>
      </c>
      <c r="F1248" s="6">
        <v>6000</v>
      </c>
      <c r="G1248" s="6">
        <v>4000</v>
      </c>
      <c r="H1248" s="6">
        <v>702000</v>
      </c>
      <c r="I1248" s="5">
        <f t="shared" si="19"/>
        <v>234000</v>
      </c>
    </row>
    <row r="1249" spans="1:9" x14ac:dyDescent="0.3">
      <c r="A1249" t="s">
        <v>623</v>
      </c>
      <c r="B1249" t="s">
        <v>28</v>
      </c>
      <c r="C1249" t="s">
        <v>10</v>
      </c>
      <c r="D1249" t="s">
        <v>18</v>
      </c>
      <c r="E1249">
        <v>64</v>
      </c>
      <c r="F1249" s="6">
        <v>6000</v>
      </c>
      <c r="G1249" s="6">
        <v>4000</v>
      </c>
      <c r="H1249" s="6">
        <v>384000</v>
      </c>
      <c r="I1249" s="5">
        <f t="shared" si="19"/>
        <v>128000</v>
      </c>
    </row>
    <row r="1250" spans="1:9" x14ac:dyDescent="0.3">
      <c r="A1250" t="s">
        <v>481</v>
      </c>
      <c r="B1250" t="s">
        <v>23</v>
      </c>
      <c r="C1250" t="s">
        <v>17</v>
      </c>
      <c r="D1250" t="s">
        <v>24</v>
      </c>
      <c r="E1250">
        <v>127</v>
      </c>
      <c r="F1250" s="6">
        <v>1200</v>
      </c>
      <c r="G1250" s="6">
        <v>800</v>
      </c>
      <c r="H1250" s="6">
        <v>152400</v>
      </c>
      <c r="I1250" s="5">
        <f t="shared" si="19"/>
        <v>50800</v>
      </c>
    </row>
    <row r="1251" spans="1:9" x14ac:dyDescent="0.3">
      <c r="A1251" t="s">
        <v>584</v>
      </c>
      <c r="B1251" t="s">
        <v>20</v>
      </c>
      <c r="C1251" t="s">
        <v>17</v>
      </c>
      <c r="D1251" t="s">
        <v>18</v>
      </c>
      <c r="E1251">
        <v>149</v>
      </c>
      <c r="F1251" s="6">
        <v>6000</v>
      </c>
      <c r="G1251" s="6">
        <v>4000</v>
      </c>
      <c r="H1251" s="6">
        <v>894000</v>
      </c>
      <c r="I1251" s="5">
        <f t="shared" si="19"/>
        <v>298000</v>
      </c>
    </row>
    <row r="1252" spans="1:9" x14ac:dyDescent="0.3">
      <c r="A1252" t="s">
        <v>189</v>
      </c>
      <c r="B1252" t="s">
        <v>9</v>
      </c>
      <c r="C1252" t="s">
        <v>10</v>
      </c>
      <c r="D1252" t="s">
        <v>24</v>
      </c>
      <c r="E1252">
        <v>75</v>
      </c>
      <c r="F1252" s="6">
        <v>1200</v>
      </c>
      <c r="G1252" s="6">
        <v>800</v>
      </c>
      <c r="H1252" s="6">
        <v>90000</v>
      </c>
      <c r="I1252" s="5">
        <f t="shared" si="19"/>
        <v>30000</v>
      </c>
    </row>
    <row r="1253" spans="1:9" x14ac:dyDescent="0.3">
      <c r="A1253" t="s">
        <v>614</v>
      </c>
      <c r="B1253" t="s">
        <v>13</v>
      </c>
      <c r="C1253" t="s">
        <v>14</v>
      </c>
      <c r="D1253" t="s">
        <v>21</v>
      </c>
      <c r="E1253">
        <v>145</v>
      </c>
      <c r="F1253" s="6">
        <v>600</v>
      </c>
      <c r="G1253" s="6">
        <v>400</v>
      </c>
      <c r="H1253" s="6">
        <v>87000</v>
      </c>
      <c r="I1253" s="5">
        <f t="shared" si="19"/>
        <v>29000</v>
      </c>
    </row>
    <row r="1254" spans="1:9" x14ac:dyDescent="0.3">
      <c r="A1254" t="s">
        <v>612</v>
      </c>
      <c r="B1254" t="s">
        <v>30</v>
      </c>
      <c r="C1254" t="s">
        <v>26</v>
      </c>
      <c r="D1254" t="s">
        <v>24</v>
      </c>
      <c r="E1254">
        <v>123</v>
      </c>
      <c r="F1254" s="6">
        <v>1200</v>
      </c>
      <c r="G1254" s="6">
        <v>800</v>
      </c>
      <c r="H1254" s="6">
        <v>147600</v>
      </c>
      <c r="I1254" s="5">
        <f t="shared" si="19"/>
        <v>49200</v>
      </c>
    </row>
    <row r="1255" spans="1:9" x14ac:dyDescent="0.3">
      <c r="A1255" t="s">
        <v>214</v>
      </c>
      <c r="B1255" t="s">
        <v>58</v>
      </c>
      <c r="C1255" t="s">
        <v>14</v>
      </c>
      <c r="D1255" t="s">
        <v>34</v>
      </c>
      <c r="E1255">
        <v>93</v>
      </c>
      <c r="F1255" s="6">
        <v>10000</v>
      </c>
      <c r="G1255" s="6">
        <v>7000</v>
      </c>
      <c r="H1255" s="6">
        <v>930000</v>
      </c>
      <c r="I1255" s="5">
        <f t="shared" si="19"/>
        <v>279000</v>
      </c>
    </row>
    <row r="1256" spans="1:9" x14ac:dyDescent="0.3">
      <c r="A1256" t="s">
        <v>490</v>
      </c>
      <c r="B1256" t="s">
        <v>30</v>
      </c>
      <c r="C1256" t="s">
        <v>14</v>
      </c>
      <c r="D1256" t="s">
        <v>31</v>
      </c>
      <c r="E1256">
        <v>124</v>
      </c>
      <c r="F1256" s="6">
        <v>1000</v>
      </c>
      <c r="G1256" s="6">
        <v>700</v>
      </c>
      <c r="H1256" s="6">
        <v>124000</v>
      </c>
      <c r="I1256" s="5">
        <f t="shared" si="19"/>
        <v>37200</v>
      </c>
    </row>
    <row r="1257" spans="1:9" x14ac:dyDescent="0.3">
      <c r="A1257" t="s">
        <v>582</v>
      </c>
      <c r="B1257" t="s">
        <v>36</v>
      </c>
      <c r="C1257" t="s">
        <v>14</v>
      </c>
      <c r="D1257" t="s">
        <v>24</v>
      </c>
      <c r="E1257">
        <v>82</v>
      </c>
      <c r="F1257" s="6">
        <v>1200</v>
      </c>
      <c r="G1257" s="6">
        <v>800</v>
      </c>
      <c r="H1257" s="6">
        <v>98400</v>
      </c>
      <c r="I1257" s="5">
        <f t="shared" si="19"/>
        <v>32800</v>
      </c>
    </row>
    <row r="1258" spans="1:9" x14ac:dyDescent="0.3">
      <c r="A1258" t="s">
        <v>413</v>
      </c>
      <c r="B1258" t="s">
        <v>9</v>
      </c>
      <c r="C1258" t="s">
        <v>14</v>
      </c>
      <c r="D1258" t="s">
        <v>11</v>
      </c>
      <c r="E1258">
        <v>66</v>
      </c>
      <c r="F1258" s="6">
        <v>3500</v>
      </c>
      <c r="G1258" s="6">
        <v>2500</v>
      </c>
      <c r="H1258" s="6">
        <v>231000</v>
      </c>
      <c r="I1258" s="5">
        <f t="shared" si="19"/>
        <v>66000</v>
      </c>
    </row>
    <row r="1259" spans="1:9" x14ac:dyDescent="0.3">
      <c r="A1259" t="s">
        <v>299</v>
      </c>
      <c r="B1259" t="s">
        <v>23</v>
      </c>
      <c r="C1259" t="s">
        <v>10</v>
      </c>
      <c r="D1259" t="s">
        <v>31</v>
      </c>
      <c r="E1259">
        <v>106</v>
      </c>
      <c r="F1259" s="6">
        <v>1000</v>
      </c>
      <c r="G1259" s="6">
        <v>700</v>
      </c>
      <c r="H1259" s="6">
        <v>106000</v>
      </c>
      <c r="I1259" s="5">
        <f t="shared" si="19"/>
        <v>31800</v>
      </c>
    </row>
    <row r="1260" spans="1:9" x14ac:dyDescent="0.3">
      <c r="A1260" t="s">
        <v>624</v>
      </c>
      <c r="B1260" t="s">
        <v>40</v>
      </c>
      <c r="C1260" t="s">
        <v>26</v>
      </c>
      <c r="D1260" t="s">
        <v>24</v>
      </c>
      <c r="E1260">
        <v>141</v>
      </c>
      <c r="F1260" s="6">
        <v>1200</v>
      </c>
      <c r="G1260" s="6">
        <v>800</v>
      </c>
      <c r="H1260" s="6">
        <v>169200</v>
      </c>
      <c r="I1260" s="5">
        <f t="shared" si="19"/>
        <v>56400</v>
      </c>
    </row>
    <row r="1261" spans="1:9" x14ac:dyDescent="0.3">
      <c r="A1261" t="s">
        <v>389</v>
      </c>
      <c r="B1261" t="s">
        <v>43</v>
      </c>
      <c r="C1261" t="s">
        <v>10</v>
      </c>
      <c r="D1261" t="s">
        <v>18</v>
      </c>
      <c r="E1261">
        <v>69</v>
      </c>
      <c r="F1261" s="6">
        <v>6000</v>
      </c>
      <c r="G1261" s="6">
        <v>4000</v>
      </c>
      <c r="H1261" s="6">
        <v>414000</v>
      </c>
      <c r="I1261" s="5">
        <f t="shared" si="19"/>
        <v>138000</v>
      </c>
    </row>
    <row r="1262" spans="1:9" x14ac:dyDescent="0.3">
      <c r="A1262" t="s">
        <v>432</v>
      </c>
      <c r="B1262" t="s">
        <v>30</v>
      </c>
      <c r="C1262" t="s">
        <v>10</v>
      </c>
      <c r="D1262" t="s">
        <v>31</v>
      </c>
      <c r="E1262">
        <v>116</v>
      </c>
      <c r="F1262" s="6">
        <v>1000</v>
      </c>
      <c r="G1262" s="6">
        <v>700</v>
      </c>
      <c r="H1262" s="6">
        <v>116000</v>
      </c>
      <c r="I1262" s="5">
        <f t="shared" si="19"/>
        <v>34800</v>
      </c>
    </row>
    <row r="1263" spans="1:9" x14ac:dyDescent="0.3">
      <c r="A1263" t="s">
        <v>610</v>
      </c>
      <c r="B1263" t="s">
        <v>43</v>
      </c>
      <c r="C1263" t="s">
        <v>14</v>
      </c>
      <c r="D1263" t="s">
        <v>11</v>
      </c>
      <c r="E1263">
        <v>147</v>
      </c>
      <c r="F1263" s="6">
        <v>3500</v>
      </c>
      <c r="G1263" s="6">
        <v>2500</v>
      </c>
      <c r="H1263" s="6">
        <v>514500</v>
      </c>
      <c r="I1263" s="5">
        <f t="shared" si="19"/>
        <v>147000</v>
      </c>
    </row>
    <row r="1264" spans="1:9" x14ac:dyDescent="0.3">
      <c r="A1264" t="s">
        <v>473</v>
      </c>
      <c r="B1264" t="s">
        <v>58</v>
      </c>
      <c r="C1264" t="s">
        <v>14</v>
      </c>
      <c r="D1264" t="s">
        <v>11</v>
      </c>
      <c r="E1264">
        <v>50</v>
      </c>
      <c r="F1264" s="6">
        <v>3500</v>
      </c>
      <c r="G1264" s="6">
        <v>2500</v>
      </c>
      <c r="H1264" s="6">
        <v>175000</v>
      </c>
      <c r="I1264" s="5">
        <f t="shared" si="19"/>
        <v>50000</v>
      </c>
    </row>
    <row r="1265" spans="1:9" x14ac:dyDescent="0.3">
      <c r="A1265" t="s">
        <v>70</v>
      </c>
      <c r="B1265" t="s">
        <v>28</v>
      </c>
      <c r="C1265" t="s">
        <v>17</v>
      </c>
      <c r="D1265" t="s">
        <v>31</v>
      </c>
      <c r="E1265">
        <v>145</v>
      </c>
      <c r="F1265" s="6">
        <v>1000</v>
      </c>
      <c r="G1265" s="6">
        <v>700</v>
      </c>
      <c r="H1265" s="6">
        <v>145000</v>
      </c>
      <c r="I1265" s="5">
        <f t="shared" si="19"/>
        <v>43500</v>
      </c>
    </row>
    <row r="1266" spans="1:9" x14ac:dyDescent="0.3">
      <c r="A1266" t="s">
        <v>85</v>
      </c>
      <c r="B1266" t="s">
        <v>43</v>
      </c>
      <c r="C1266" t="s">
        <v>17</v>
      </c>
      <c r="D1266" t="s">
        <v>24</v>
      </c>
      <c r="E1266">
        <v>107</v>
      </c>
      <c r="F1266" s="6">
        <v>1200</v>
      </c>
      <c r="G1266" s="6">
        <v>800</v>
      </c>
      <c r="H1266" s="6">
        <v>128400</v>
      </c>
      <c r="I1266" s="5">
        <f t="shared" si="19"/>
        <v>42800</v>
      </c>
    </row>
    <row r="1267" spans="1:9" x14ac:dyDescent="0.3">
      <c r="A1267" t="s">
        <v>73</v>
      </c>
      <c r="B1267" t="s">
        <v>58</v>
      </c>
      <c r="C1267" t="s">
        <v>14</v>
      </c>
      <c r="D1267" t="s">
        <v>15</v>
      </c>
      <c r="E1267">
        <v>142</v>
      </c>
      <c r="F1267" s="6">
        <v>4000</v>
      </c>
      <c r="G1267" s="6">
        <v>3000</v>
      </c>
      <c r="H1267" s="6">
        <v>568000</v>
      </c>
      <c r="I1267" s="5">
        <f t="shared" si="19"/>
        <v>142000</v>
      </c>
    </row>
    <row r="1268" spans="1:9" x14ac:dyDescent="0.3">
      <c r="A1268" t="s">
        <v>557</v>
      </c>
      <c r="B1268" t="s">
        <v>23</v>
      </c>
      <c r="C1268" t="s">
        <v>10</v>
      </c>
      <c r="D1268" t="s">
        <v>24</v>
      </c>
      <c r="E1268">
        <v>81</v>
      </c>
      <c r="F1268" s="6">
        <v>1200</v>
      </c>
      <c r="G1268" s="6">
        <v>800</v>
      </c>
      <c r="H1268" s="6">
        <v>97200</v>
      </c>
      <c r="I1268" s="5">
        <f t="shared" si="19"/>
        <v>32400</v>
      </c>
    </row>
    <row r="1269" spans="1:9" x14ac:dyDescent="0.3">
      <c r="A1269" t="s">
        <v>183</v>
      </c>
      <c r="B1269" t="s">
        <v>23</v>
      </c>
      <c r="C1269" t="s">
        <v>26</v>
      </c>
      <c r="D1269" t="s">
        <v>21</v>
      </c>
      <c r="E1269">
        <v>96</v>
      </c>
      <c r="F1269" s="6">
        <v>600</v>
      </c>
      <c r="G1269" s="6">
        <v>400</v>
      </c>
      <c r="H1269" s="6">
        <v>57600</v>
      </c>
      <c r="I1269" s="5">
        <f t="shared" si="19"/>
        <v>19200</v>
      </c>
    </row>
    <row r="1270" spans="1:9" x14ac:dyDescent="0.3">
      <c r="A1270" t="s">
        <v>625</v>
      </c>
      <c r="B1270" t="s">
        <v>36</v>
      </c>
      <c r="C1270" t="s">
        <v>17</v>
      </c>
      <c r="D1270" t="s">
        <v>31</v>
      </c>
      <c r="E1270">
        <v>85</v>
      </c>
      <c r="F1270" s="6">
        <v>1000</v>
      </c>
      <c r="G1270" s="6">
        <v>700</v>
      </c>
      <c r="H1270" s="6">
        <v>85000</v>
      </c>
      <c r="I1270" s="5">
        <f t="shared" si="19"/>
        <v>25500</v>
      </c>
    </row>
    <row r="1271" spans="1:9" x14ac:dyDescent="0.3">
      <c r="A1271" t="s">
        <v>197</v>
      </c>
      <c r="B1271" t="s">
        <v>13</v>
      </c>
      <c r="C1271" t="s">
        <v>14</v>
      </c>
      <c r="D1271" t="s">
        <v>21</v>
      </c>
      <c r="E1271">
        <v>117</v>
      </c>
      <c r="F1271" s="6">
        <v>600</v>
      </c>
      <c r="G1271" s="6">
        <v>400</v>
      </c>
      <c r="H1271" s="6">
        <v>70200</v>
      </c>
      <c r="I1271" s="5">
        <f t="shared" si="19"/>
        <v>23400</v>
      </c>
    </row>
    <row r="1272" spans="1:9" x14ac:dyDescent="0.3">
      <c r="A1272" t="s">
        <v>348</v>
      </c>
      <c r="B1272" t="s">
        <v>23</v>
      </c>
      <c r="C1272" t="s">
        <v>14</v>
      </c>
      <c r="D1272" t="s">
        <v>34</v>
      </c>
      <c r="E1272">
        <v>105</v>
      </c>
      <c r="F1272" s="6">
        <v>10000</v>
      </c>
      <c r="G1272" s="6">
        <v>7000</v>
      </c>
      <c r="H1272" s="6">
        <v>1050000</v>
      </c>
      <c r="I1272" s="5">
        <f t="shared" si="19"/>
        <v>315000</v>
      </c>
    </row>
    <row r="1273" spans="1:9" x14ac:dyDescent="0.3">
      <c r="A1273" t="s">
        <v>448</v>
      </c>
      <c r="B1273" t="s">
        <v>36</v>
      </c>
      <c r="C1273" t="s">
        <v>10</v>
      </c>
      <c r="D1273" t="s">
        <v>18</v>
      </c>
      <c r="E1273">
        <v>116</v>
      </c>
      <c r="F1273" s="6">
        <v>6000</v>
      </c>
      <c r="G1273" s="6">
        <v>4000</v>
      </c>
      <c r="H1273" s="6">
        <v>696000</v>
      </c>
      <c r="I1273" s="5">
        <f t="shared" si="19"/>
        <v>232000</v>
      </c>
    </row>
    <row r="1274" spans="1:9" x14ac:dyDescent="0.3">
      <c r="A1274" t="s">
        <v>468</v>
      </c>
      <c r="B1274" t="s">
        <v>9</v>
      </c>
      <c r="C1274" t="s">
        <v>14</v>
      </c>
      <c r="D1274" t="s">
        <v>21</v>
      </c>
      <c r="E1274">
        <v>138</v>
      </c>
      <c r="F1274" s="6">
        <v>600</v>
      </c>
      <c r="G1274" s="6">
        <v>400</v>
      </c>
      <c r="H1274" s="6">
        <v>82800</v>
      </c>
      <c r="I1274" s="5">
        <f t="shared" si="19"/>
        <v>27600</v>
      </c>
    </row>
    <row r="1275" spans="1:9" x14ac:dyDescent="0.3">
      <c r="A1275" t="s">
        <v>619</v>
      </c>
      <c r="B1275" t="s">
        <v>20</v>
      </c>
      <c r="C1275" t="s">
        <v>14</v>
      </c>
      <c r="D1275" t="s">
        <v>11</v>
      </c>
      <c r="E1275">
        <v>114</v>
      </c>
      <c r="F1275" s="6">
        <v>3500</v>
      </c>
      <c r="G1275" s="6">
        <v>2500</v>
      </c>
      <c r="H1275" s="6">
        <v>399000</v>
      </c>
      <c r="I1275" s="5">
        <f t="shared" si="19"/>
        <v>114000</v>
      </c>
    </row>
    <row r="1276" spans="1:9" x14ac:dyDescent="0.3">
      <c r="A1276" t="s">
        <v>626</v>
      </c>
      <c r="B1276" t="s">
        <v>43</v>
      </c>
      <c r="C1276" t="s">
        <v>10</v>
      </c>
      <c r="D1276" t="s">
        <v>15</v>
      </c>
      <c r="E1276">
        <v>92</v>
      </c>
      <c r="F1276" s="6">
        <v>4000</v>
      </c>
      <c r="G1276" s="6">
        <v>3000</v>
      </c>
      <c r="H1276" s="6">
        <v>368000</v>
      </c>
      <c r="I1276" s="5">
        <f t="shared" si="19"/>
        <v>92000</v>
      </c>
    </row>
    <row r="1277" spans="1:9" x14ac:dyDescent="0.3">
      <c r="A1277" t="s">
        <v>604</v>
      </c>
      <c r="B1277" t="s">
        <v>23</v>
      </c>
      <c r="C1277" t="s">
        <v>17</v>
      </c>
      <c r="D1277" t="s">
        <v>24</v>
      </c>
      <c r="E1277">
        <v>104</v>
      </c>
      <c r="F1277" s="6">
        <v>1200</v>
      </c>
      <c r="G1277" s="6">
        <v>800</v>
      </c>
      <c r="H1277" s="6">
        <v>124800</v>
      </c>
      <c r="I1277" s="5">
        <f t="shared" si="19"/>
        <v>41600</v>
      </c>
    </row>
    <row r="1278" spans="1:9" x14ac:dyDescent="0.3">
      <c r="A1278" t="s">
        <v>627</v>
      </c>
      <c r="B1278" t="s">
        <v>36</v>
      </c>
      <c r="C1278" t="s">
        <v>14</v>
      </c>
      <c r="D1278" t="s">
        <v>21</v>
      </c>
      <c r="E1278">
        <v>67</v>
      </c>
      <c r="F1278" s="6">
        <v>600</v>
      </c>
      <c r="G1278" s="6">
        <v>400</v>
      </c>
      <c r="H1278" s="6">
        <v>40200</v>
      </c>
      <c r="I1278" s="5">
        <f t="shared" si="19"/>
        <v>13400</v>
      </c>
    </row>
    <row r="1279" spans="1:9" x14ac:dyDescent="0.3">
      <c r="A1279" t="s">
        <v>317</v>
      </c>
      <c r="B1279" t="s">
        <v>30</v>
      </c>
      <c r="C1279" t="s">
        <v>10</v>
      </c>
      <c r="D1279" t="s">
        <v>11</v>
      </c>
      <c r="E1279">
        <v>98</v>
      </c>
      <c r="F1279" s="6">
        <v>3500</v>
      </c>
      <c r="G1279" s="6">
        <v>2500</v>
      </c>
      <c r="H1279" s="6">
        <v>343000</v>
      </c>
      <c r="I1279" s="5">
        <f t="shared" si="19"/>
        <v>98000</v>
      </c>
    </row>
    <row r="1280" spans="1:9" x14ac:dyDescent="0.3">
      <c r="A1280" t="s">
        <v>353</v>
      </c>
      <c r="B1280" t="s">
        <v>36</v>
      </c>
      <c r="C1280" t="s">
        <v>10</v>
      </c>
      <c r="D1280" t="s">
        <v>15</v>
      </c>
      <c r="E1280">
        <v>92</v>
      </c>
      <c r="F1280" s="6">
        <v>4000</v>
      </c>
      <c r="G1280" s="6">
        <v>3000</v>
      </c>
      <c r="H1280" s="6">
        <v>368000</v>
      </c>
      <c r="I1280" s="5">
        <f t="shared" si="19"/>
        <v>92000</v>
      </c>
    </row>
    <row r="1281" spans="1:9" x14ac:dyDescent="0.3">
      <c r="A1281" t="s">
        <v>119</v>
      </c>
      <c r="B1281" t="s">
        <v>30</v>
      </c>
      <c r="C1281" t="s">
        <v>17</v>
      </c>
      <c r="D1281" t="s">
        <v>21</v>
      </c>
      <c r="E1281">
        <v>106</v>
      </c>
      <c r="F1281" s="6">
        <v>600</v>
      </c>
      <c r="G1281" s="6">
        <v>400</v>
      </c>
      <c r="H1281" s="6">
        <v>63600</v>
      </c>
      <c r="I1281" s="5">
        <f t="shared" si="19"/>
        <v>21200</v>
      </c>
    </row>
    <row r="1282" spans="1:9" x14ac:dyDescent="0.3">
      <c r="A1282" t="s">
        <v>222</v>
      </c>
      <c r="B1282" t="s">
        <v>20</v>
      </c>
      <c r="C1282" t="s">
        <v>10</v>
      </c>
      <c r="D1282" t="s">
        <v>15</v>
      </c>
      <c r="E1282">
        <v>63</v>
      </c>
      <c r="F1282" s="6">
        <v>4000</v>
      </c>
      <c r="G1282" s="6">
        <v>3000</v>
      </c>
      <c r="H1282" s="6">
        <v>252000</v>
      </c>
      <c r="I1282" s="5">
        <f t="shared" ref="I1282:I1345" si="20">H1282-(G1282*E1282)</f>
        <v>63000</v>
      </c>
    </row>
    <row r="1283" spans="1:9" x14ac:dyDescent="0.3">
      <c r="A1283" t="s">
        <v>467</v>
      </c>
      <c r="B1283" t="s">
        <v>58</v>
      </c>
      <c r="C1283" t="s">
        <v>14</v>
      </c>
      <c r="D1283" t="s">
        <v>34</v>
      </c>
      <c r="E1283">
        <v>100</v>
      </c>
      <c r="F1283" s="6">
        <v>10000</v>
      </c>
      <c r="G1283" s="6">
        <v>7000</v>
      </c>
      <c r="H1283" s="6">
        <v>1000000</v>
      </c>
      <c r="I1283" s="5">
        <f t="shared" si="20"/>
        <v>300000</v>
      </c>
    </row>
    <row r="1284" spans="1:9" x14ac:dyDescent="0.3">
      <c r="A1284" t="s">
        <v>628</v>
      </c>
      <c r="B1284" t="s">
        <v>30</v>
      </c>
      <c r="C1284" t="s">
        <v>26</v>
      </c>
      <c r="D1284" t="s">
        <v>15</v>
      </c>
      <c r="E1284">
        <v>141</v>
      </c>
      <c r="F1284" s="6">
        <v>4000</v>
      </c>
      <c r="G1284" s="6">
        <v>3000</v>
      </c>
      <c r="H1284" s="6">
        <v>564000</v>
      </c>
      <c r="I1284" s="5">
        <f t="shared" si="20"/>
        <v>141000</v>
      </c>
    </row>
    <row r="1285" spans="1:9" x14ac:dyDescent="0.3">
      <c r="A1285" t="s">
        <v>128</v>
      </c>
      <c r="B1285" t="s">
        <v>36</v>
      </c>
      <c r="C1285" t="s">
        <v>26</v>
      </c>
      <c r="D1285" t="s">
        <v>31</v>
      </c>
      <c r="E1285">
        <v>53</v>
      </c>
      <c r="F1285" s="6">
        <v>1000</v>
      </c>
      <c r="G1285" s="6">
        <v>700</v>
      </c>
      <c r="H1285" s="6">
        <v>53000</v>
      </c>
      <c r="I1285" s="5">
        <f t="shared" si="20"/>
        <v>15900</v>
      </c>
    </row>
    <row r="1286" spans="1:9" x14ac:dyDescent="0.3">
      <c r="A1286" t="s">
        <v>514</v>
      </c>
      <c r="B1286" t="s">
        <v>43</v>
      </c>
      <c r="C1286" t="s">
        <v>14</v>
      </c>
      <c r="D1286" t="s">
        <v>31</v>
      </c>
      <c r="E1286">
        <v>133</v>
      </c>
      <c r="F1286" s="6">
        <v>1000</v>
      </c>
      <c r="G1286" s="6">
        <v>700</v>
      </c>
      <c r="H1286" s="6">
        <v>133000</v>
      </c>
      <c r="I1286" s="5">
        <f t="shared" si="20"/>
        <v>39900</v>
      </c>
    </row>
    <row r="1287" spans="1:9" x14ac:dyDescent="0.3">
      <c r="A1287" t="s">
        <v>416</v>
      </c>
      <c r="B1287" t="s">
        <v>23</v>
      </c>
      <c r="C1287" t="s">
        <v>26</v>
      </c>
      <c r="D1287" t="s">
        <v>21</v>
      </c>
      <c r="E1287">
        <v>128</v>
      </c>
      <c r="F1287" s="6">
        <v>600</v>
      </c>
      <c r="G1287" s="6">
        <v>400</v>
      </c>
      <c r="H1287" s="6">
        <v>76800</v>
      </c>
      <c r="I1287" s="5">
        <f t="shared" si="20"/>
        <v>25600</v>
      </c>
    </row>
    <row r="1288" spans="1:9" x14ac:dyDescent="0.3">
      <c r="A1288" t="s">
        <v>437</v>
      </c>
      <c r="B1288" t="s">
        <v>13</v>
      </c>
      <c r="C1288" t="s">
        <v>10</v>
      </c>
      <c r="D1288" t="s">
        <v>34</v>
      </c>
      <c r="E1288">
        <v>144</v>
      </c>
      <c r="F1288" s="6">
        <v>10000</v>
      </c>
      <c r="G1288" s="6">
        <v>7000</v>
      </c>
      <c r="H1288" s="6">
        <v>1440000</v>
      </c>
      <c r="I1288" s="5">
        <f t="shared" si="20"/>
        <v>432000</v>
      </c>
    </row>
    <row r="1289" spans="1:9" x14ac:dyDescent="0.3">
      <c r="A1289" t="s">
        <v>629</v>
      </c>
      <c r="B1289" t="s">
        <v>13</v>
      </c>
      <c r="C1289" t="s">
        <v>17</v>
      </c>
      <c r="D1289" t="s">
        <v>24</v>
      </c>
      <c r="E1289">
        <v>143</v>
      </c>
      <c r="F1289" s="6">
        <v>1200</v>
      </c>
      <c r="G1289" s="6">
        <v>800</v>
      </c>
      <c r="H1289" s="6">
        <v>171600</v>
      </c>
      <c r="I1289" s="5">
        <f t="shared" si="20"/>
        <v>57200</v>
      </c>
    </row>
    <row r="1290" spans="1:9" x14ac:dyDescent="0.3">
      <c r="A1290" t="s">
        <v>424</v>
      </c>
      <c r="B1290" t="s">
        <v>40</v>
      </c>
      <c r="C1290" t="s">
        <v>17</v>
      </c>
      <c r="D1290" t="s">
        <v>15</v>
      </c>
      <c r="E1290">
        <v>74</v>
      </c>
      <c r="F1290" s="6">
        <v>4000</v>
      </c>
      <c r="G1290" s="6">
        <v>3000</v>
      </c>
      <c r="H1290" s="6">
        <v>296000</v>
      </c>
      <c r="I1290" s="5">
        <f t="shared" si="20"/>
        <v>74000</v>
      </c>
    </row>
    <row r="1291" spans="1:9" x14ac:dyDescent="0.3">
      <c r="A1291" t="s">
        <v>330</v>
      </c>
      <c r="B1291" t="s">
        <v>20</v>
      </c>
      <c r="C1291" t="s">
        <v>17</v>
      </c>
      <c r="D1291" t="s">
        <v>21</v>
      </c>
      <c r="E1291">
        <v>86</v>
      </c>
      <c r="F1291" s="6">
        <v>600</v>
      </c>
      <c r="G1291" s="6">
        <v>400</v>
      </c>
      <c r="H1291" s="6">
        <v>51600</v>
      </c>
      <c r="I1291" s="5">
        <f t="shared" si="20"/>
        <v>17200</v>
      </c>
    </row>
    <row r="1292" spans="1:9" x14ac:dyDescent="0.3">
      <c r="A1292" t="s">
        <v>630</v>
      </c>
      <c r="B1292" t="s">
        <v>20</v>
      </c>
      <c r="C1292" t="s">
        <v>26</v>
      </c>
      <c r="D1292" t="s">
        <v>34</v>
      </c>
      <c r="E1292">
        <v>122</v>
      </c>
      <c r="F1292" s="6">
        <v>10000</v>
      </c>
      <c r="G1292" s="6">
        <v>7000</v>
      </c>
      <c r="H1292" s="6">
        <v>1220000</v>
      </c>
      <c r="I1292" s="5">
        <f t="shared" si="20"/>
        <v>366000</v>
      </c>
    </row>
    <row r="1293" spans="1:9" x14ac:dyDescent="0.3">
      <c r="A1293" t="s">
        <v>93</v>
      </c>
      <c r="B1293" t="s">
        <v>23</v>
      </c>
      <c r="C1293" t="s">
        <v>26</v>
      </c>
      <c r="D1293" t="s">
        <v>15</v>
      </c>
      <c r="E1293">
        <v>133</v>
      </c>
      <c r="F1293" s="6">
        <v>4000</v>
      </c>
      <c r="G1293" s="6">
        <v>3000</v>
      </c>
      <c r="H1293" s="6">
        <v>532000</v>
      </c>
      <c r="I1293" s="5">
        <f t="shared" si="20"/>
        <v>133000</v>
      </c>
    </row>
    <row r="1294" spans="1:9" x14ac:dyDescent="0.3">
      <c r="A1294" t="s">
        <v>220</v>
      </c>
      <c r="B1294" t="s">
        <v>9</v>
      </c>
      <c r="C1294" t="s">
        <v>17</v>
      </c>
      <c r="D1294" t="s">
        <v>15</v>
      </c>
      <c r="E1294">
        <v>106</v>
      </c>
      <c r="F1294" s="6">
        <v>4000</v>
      </c>
      <c r="G1294" s="6">
        <v>3000</v>
      </c>
      <c r="H1294" s="6">
        <v>424000</v>
      </c>
      <c r="I1294" s="5">
        <f t="shared" si="20"/>
        <v>106000</v>
      </c>
    </row>
    <row r="1295" spans="1:9" x14ac:dyDescent="0.3">
      <c r="A1295" t="s">
        <v>401</v>
      </c>
      <c r="B1295" t="s">
        <v>36</v>
      </c>
      <c r="C1295" t="s">
        <v>10</v>
      </c>
      <c r="D1295" t="s">
        <v>15</v>
      </c>
      <c r="E1295">
        <v>127</v>
      </c>
      <c r="F1295" s="6">
        <v>4000</v>
      </c>
      <c r="G1295" s="6">
        <v>3000</v>
      </c>
      <c r="H1295" s="6">
        <v>508000</v>
      </c>
      <c r="I1295" s="5">
        <f t="shared" si="20"/>
        <v>127000</v>
      </c>
    </row>
    <row r="1296" spans="1:9" x14ac:dyDescent="0.3">
      <c r="A1296" t="s">
        <v>49</v>
      </c>
      <c r="B1296" t="s">
        <v>43</v>
      </c>
      <c r="C1296" t="s">
        <v>10</v>
      </c>
      <c r="D1296" t="s">
        <v>11</v>
      </c>
      <c r="E1296">
        <v>115</v>
      </c>
      <c r="F1296" s="6">
        <v>3500</v>
      </c>
      <c r="G1296" s="6">
        <v>2500</v>
      </c>
      <c r="H1296" s="6">
        <v>402500</v>
      </c>
      <c r="I1296" s="5">
        <f t="shared" si="20"/>
        <v>115000</v>
      </c>
    </row>
    <row r="1297" spans="1:9" x14ac:dyDescent="0.3">
      <c r="A1297" t="s">
        <v>231</v>
      </c>
      <c r="B1297" t="s">
        <v>30</v>
      </c>
      <c r="C1297" t="s">
        <v>14</v>
      </c>
      <c r="D1297" t="s">
        <v>11</v>
      </c>
      <c r="E1297">
        <v>108</v>
      </c>
      <c r="F1297" s="6">
        <v>3500</v>
      </c>
      <c r="G1297" s="6">
        <v>2500</v>
      </c>
      <c r="H1297" s="6">
        <v>378000</v>
      </c>
      <c r="I1297" s="5">
        <f t="shared" si="20"/>
        <v>108000</v>
      </c>
    </row>
    <row r="1298" spans="1:9" x14ac:dyDescent="0.3">
      <c r="A1298" t="s">
        <v>516</v>
      </c>
      <c r="B1298" t="s">
        <v>13</v>
      </c>
      <c r="C1298" t="s">
        <v>26</v>
      </c>
      <c r="D1298" t="s">
        <v>24</v>
      </c>
      <c r="E1298">
        <v>65</v>
      </c>
      <c r="F1298" s="6">
        <v>1200</v>
      </c>
      <c r="G1298" s="6">
        <v>800</v>
      </c>
      <c r="H1298" s="6">
        <v>78000</v>
      </c>
      <c r="I1298" s="5">
        <f t="shared" si="20"/>
        <v>26000</v>
      </c>
    </row>
    <row r="1299" spans="1:9" x14ac:dyDescent="0.3">
      <c r="A1299" t="s">
        <v>494</v>
      </c>
      <c r="B1299" t="s">
        <v>30</v>
      </c>
      <c r="C1299" t="s">
        <v>17</v>
      </c>
      <c r="D1299" t="s">
        <v>31</v>
      </c>
      <c r="E1299">
        <v>141</v>
      </c>
      <c r="F1299" s="6">
        <v>1000</v>
      </c>
      <c r="G1299" s="6">
        <v>700</v>
      </c>
      <c r="H1299" s="6">
        <v>141000</v>
      </c>
      <c r="I1299" s="5">
        <f t="shared" si="20"/>
        <v>42300</v>
      </c>
    </row>
    <row r="1300" spans="1:9" x14ac:dyDescent="0.3">
      <c r="A1300" t="s">
        <v>419</v>
      </c>
      <c r="B1300" t="s">
        <v>30</v>
      </c>
      <c r="C1300" t="s">
        <v>10</v>
      </c>
      <c r="D1300" t="s">
        <v>15</v>
      </c>
      <c r="E1300">
        <v>69</v>
      </c>
      <c r="F1300" s="6">
        <v>4000</v>
      </c>
      <c r="G1300" s="6">
        <v>3000</v>
      </c>
      <c r="H1300" s="6">
        <v>276000</v>
      </c>
      <c r="I1300" s="5">
        <f t="shared" si="20"/>
        <v>69000</v>
      </c>
    </row>
    <row r="1301" spans="1:9" x14ac:dyDescent="0.3">
      <c r="A1301" t="s">
        <v>315</v>
      </c>
      <c r="B1301" t="s">
        <v>58</v>
      </c>
      <c r="C1301" t="s">
        <v>26</v>
      </c>
      <c r="D1301" t="s">
        <v>15</v>
      </c>
      <c r="E1301">
        <v>114</v>
      </c>
      <c r="F1301" s="6">
        <v>4000</v>
      </c>
      <c r="G1301" s="6">
        <v>3000</v>
      </c>
      <c r="H1301" s="6">
        <v>456000</v>
      </c>
      <c r="I1301" s="5">
        <f t="shared" si="20"/>
        <v>114000</v>
      </c>
    </row>
    <row r="1302" spans="1:9" x14ac:dyDescent="0.3">
      <c r="A1302" t="s">
        <v>103</v>
      </c>
      <c r="B1302" t="s">
        <v>36</v>
      </c>
      <c r="C1302" t="s">
        <v>10</v>
      </c>
      <c r="D1302" t="s">
        <v>31</v>
      </c>
      <c r="E1302">
        <v>141</v>
      </c>
      <c r="F1302" s="6">
        <v>1000</v>
      </c>
      <c r="G1302" s="6">
        <v>700</v>
      </c>
      <c r="H1302" s="6">
        <v>141000</v>
      </c>
      <c r="I1302" s="5">
        <f t="shared" si="20"/>
        <v>42300</v>
      </c>
    </row>
    <row r="1303" spans="1:9" x14ac:dyDescent="0.3">
      <c r="A1303" t="s">
        <v>326</v>
      </c>
      <c r="B1303" t="s">
        <v>43</v>
      </c>
      <c r="C1303" t="s">
        <v>26</v>
      </c>
      <c r="D1303" t="s">
        <v>15</v>
      </c>
      <c r="E1303">
        <v>98</v>
      </c>
      <c r="F1303" s="6">
        <v>4000</v>
      </c>
      <c r="G1303" s="6">
        <v>3000</v>
      </c>
      <c r="H1303" s="6">
        <v>392000</v>
      </c>
      <c r="I1303" s="5">
        <f t="shared" si="20"/>
        <v>98000</v>
      </c>
    </row>
    <row r="1304" spans="1:9" x14ac:dyDescent="0.3">
      <c r="A1304" t="s">
        <v>125</v>
      </c>
      <c r="B1304" t="s">
        <v>13</v>
      </c>
      <c r="C1304" t="s">
        <v>14</v>
      </c>
      <c r="D1304" t="s">
        <v>15</v>
      </c>
      <c r="E1304">
        <v>93</v>
      </c>
      <c r="F1304" s="6">
        <v>4000</v>
      </c>
      <c r="G1304" s="6">
        <v>3000</v>
      </c>
      <c r="H1304" s="6">
        <v>372000</v>
      </c>
      <c r="I1304" s="5">
        <f t="shared" si="20"/>
        <v>93000</v>
      </c>
    </row>
    <row r="1305" spans="1:9" x14ac:dyDescent="0.3">
      <c r="A1305" t="s">
        <v>412</v>
      </c>
      <c r="B1305" t="s">
        <v>36</v>
      </c>
      <c r="C1305" t="s">
        <v>17</v>
      </c>
      <c r="D1305" t="s">
        <v>15</v>
      </c>
      <c r="E1305">
        <v>101</v>
      </c>
      <c r="F1305" s="6">
        <v>4000</v>
      </c>
      <c r="G1305" s="6">
        <v>3000</v>
      </c>
      <c r="H1305" s="6">
        <v>404000</v>
      </c>
      <c r="I1305" s="5">
        <f t="shared" si="20"/>
        <v>101000</v>
      </c>
    </row>
    <row r="1306" spans="1:9" x14ac:dyDescent="0.3">
      <c r="A1306" t="s">
        <v>570</v>
      </c>
      <c r="B1306" t="s">
        <v>28</v>
      </c>
      <c r="C1306" t="s">
        <v>26</v>
      </c>
      <c r="D1306" t="s">
        <v>18</v>
      </c>
      <c r="E1306">
        <v>148</v>
      </c>
      <c r="F1306" s="6">
        <v>6000</v>
      </c>
      <c r="G1306" s="6">
        <v>4000</v>
      </c>
      <c r="H1306" s="6">
        <v>888000</v>
      </c>
      <c r="I1306" s="5">
        <f t="shared" si="20"/>
        <v>296000</v>
      </c>
    </row>
    <row r="1307" spans="1:9" x14ac:dyDescent="0.3">
      <c r="A1307" t="s">
        <v>537</v>
      </c>
      <c r="B1307" t="s">
        <v>58</v>
      </c>
      <c r="C1307" t="s">
        <v>17</v>
      </c>
      <c r="D1307" t="s">
        <v>34</v>
      </c>
      <c r="E1307">
        <v>79</v>
      </c>
      <c r="F1307" s="6">
        <v>10000</v>
      </c>
      <c r="G1307" s="6">
        <v>7000</v>
      </c>
      <c r="H1307" s="6">
        <v>790000</v>
      </c>
      <c r="I1307" s="5">
        <f t="shared" si="20"/>
        <v>237000</v>
      </c>
    </row>
    <row r="1308" spans="1:9" x14ac:dyDescent="0.3">
      <c r="A1308" t="s">
        <v>374</v>
      </c>
      <c r="B1308" t="s">
        <v>13</v>
      </c>
      <c r="C1308" t="s">
        <v>14</v>
      </c>
      <c r="D1308" t="s">
        <v>18</v>
      </c>
      <c r="E1308">
        <v>53</v>
      </c>
      <c r="F1308" s="6">
        <v>6000</v>
      </c>
      <c r="G1308" s="6">
        <v>4000</v>
      </c>
      <c r="H1308" s="6">
        <v>318000</v>
      </c>
      <c r="I1308" s="5">
        <f t="shared" si="20"/>
        <v>106000</v>
      </c>
    </row>
    <row r="1309" spans="1:9" x14ac:dyDescent="0.3">
      <c r="A1309" t="s">
        <v>631</v>
      </c>
      <c r="B1309" t="s">
        <v>40</v>
      </c>
      <c r="C1309" t="s">
        <v>26</v>
      </c>
      <c r="D1309" t="s">
        <v>15</v>
      </c>
      <c r="E1309">
        <v>99</v>
      </c>
      <c r="F1309" s="6">
        <v>4000</v>
      </c>
      <c r="G1309" s="6">
        <v>3000</v>
      </c>
      <c r="H1309" s="6">
        <v>396000</v>
      </c>
      <c r="I1309" s="5">
        <f t="shared" si="20"/>
        <v>99000</v>
      </c>
    </row>
    <row r="1310" spans="1:9" x14ac:dyDescent="0.3">
      <c r="A1310" t="s">
        <v>311</v>
      </c>
      <c r="B1310" t="s">
        <v>30</v>
      </c>
      <c r="C1310" t="s">
        <v>26</v>
      </c>
      <c r="D1310" t="s">
        <v>11</v>
      </c>
      <c r="E1310">
        <v>131</v>
      </c>
      <c r="F1310" s="6">
        <v>3500</v>
      </c>
      <c r="G1310" s="6">
        <v>2500</v>
      </c>
      <c r="H1310" s="6">
        <v>458500</v>
      </c>
      <c r="I1310" s="5">
        <f t="shared" si="20"/>
        <v>131000</v>
      </c>
    </row>
    <row r="1311" spans="1:9" x14ac:dyDescent="0.3">
      <c r="A1311" t="s">
        <v>236</v>
      </c>
      <c r="B1311" t="s">
        <v>30</v>
      </c>
      <c r="C1311" t="s">
        <v>17</v>
      </c>
      <c r="D1311" t="s">
        <v>34</v>
      </c>
      <c r="E1311">
        <v>96</v>
      </c>
      <c r="F1311" s="6">
        <v>10000</v>
      </c>
      <c r="G1311" s="6">
        <v>7000</v>
      </c>
      <c r="H1311" s="6">
        <v>960000</v>
      </c>
      <c r="I1311" s="5">
        <f t="shared" si="20"/>
        <v>288000</v>
      </c>
    </row>
    <row r="1312" spans="1:9" x14ac:dyDescent="0.3">
      <c r="A1312" t="s">
        <v>632</v>
      </c>
      <c r="B1312" t="s">
        <v>23</v>
      </c>
      <c r="C1312" t="s">
        <v>17</v>
      </c>
      <c r="D1312" t="s">
        <v>24</v>
      </c>
      <c r="E1312">
        <v>102</v>
      </c>
      <c r="F1312" s="6">
        <v>1200</v>
      </c>
      <c r="G1312" s="6">
        <v>800</v>
      </c>
      <c r="H1312" s="6">
        <v>122400</v>
      </c>
      <c r="I1312" s="5">
        <f t="shared" si="20"/>
        <v>40800</v>
      </c>
    </row>
    <row r="1313" spans="1:9" x14ac:dyDescent="0.3">
      <c r="A1313" t="s">
        <v>202</v>
      </c>
      <c r="B1313" t="s">
        <v>13</v>
      </c>
      <c r="C1313" t="s">
        <v>26</v>
      </c>
      <c r="D1313" t="s">
        <v>31</v>
      </c>
      <c r="E1313">
        <v>124</v>
      </c>
      <c r="F1313" s="6">
        <v>1000</v>
      </c>
      <c r="G1313" s="6">
        <v>700</v>
      </c>
      <c r="H1313" s="6">
        <v>124000</v>
      </c>
      <c r="I1313" s="5">
        <f t="shared" si="20"/>
        <v>37200</v>
      </c>
    </row>
    <row r="1314" spans="1:9" x14ac:dyDescent="0.3">
      <c r="A1314" t="s">
        <v>139</v>
      </c>
      <c r="B1314" t="s">
        <v>13</v>
      </c>
      <c r="C1314" t="s">
        <v>26</v>
      </c>
      <c r="D1314" t="s">
        <v>11</v>
      </c>
      <c r="E1314">
        <v>125</v>
      </c>
      <c r="F1314" s="6">
        <v>3500</v>
      </c>
      <c r="G1314" s="6">
        <v>2500</v>
      </c>
      <c r="H1314" s="6">
        <v>437500</v>
      </c>
      <c r="I1314" s="5">
        <f t="shared" si="20"/>
        <v>125000</v>
      </c>
    </row>
    <row r="1315" spans="1:9" x14ac:dyDescent="0.3">
      <c r="A1315" t="s">
        <v>547</v>
      </c>
      <c r="B1315" t="s">
        <v>28</v>
      </c>
      <c r="C1315" t="s">
        <v>26</v>
      </c>
      <c r="D1315" t="s">
        <v>11</v>
      </c>
      <c r="E1315">
        <v>139</v>
      </c>
      <c r="F1315" s="6">
        <v>3500</v>
      </c>
      <c r="G1315" s="6">
        <v>2500</v>
      </c>
      <c r="H1315" s="6">
        <v>486500</v>
      </c>
      <c r="I1315" s="5">
        <f t="shared" si="20"/>
        <v>139000</v>
      </c>
    </row>
    <row r="1316" spans="1:9" x14ac:dyDescent="0.3">
      <c r="A1316" t="s">
        <v>417</v>
      </c>
      <c r="B1316" t="s">
        <v>43</v>
      </c>
      <c r="C1316" t="s">
        <v>10</v>
      </c>
      <c r="D1316" t="s">
        <v>18</v>
      </c>
      <c r="E1316">
        <v>123</v>
      </c>
      <c r="F1316" s="6">
        <v>6000</v>
      </c>
      <c r="G1316" s="6">
        <v>4000</v>
      </c>
      <c r="H1316" s="6">
        <v>738000</v>
      </c>
      <c r="I1316" s="5">
        <f t="shared" si="20"/>
        <v>246000</v>
      </c>
    </row>
    <row r="1317" spans="1:9" x14ac:dyDescent="0.3">
      <c r="A1317" t="s">
        <v>444</v>
      </c>
      <c r="B1317" t="s">
        <v>23</v>
      </c>
      <c r="C1317" t="s">
        <v>17</v>
      </c>
      <c r="D1317" t="s">
        <v>34</v>
      </c>
      <c r="E1317">
        <v>66</v>
      </c>
      <c r="F1317" s="6">
        <v>10000</v>
      </c>
      <c r="G1317" s="6">
        <v>7000</v>
      </c>
      <c r="H1317" s="6">
        <v>660000</v>
      </c>
      <c r="I1317" s="5">
        <f t="shared" si="20"/>
        <v>198000</v>
      </c>
    </row>
    <row r="1318" spans="1:9" x14ac:dyDescent="0.3">
      <c r="A1318" t="s">
        <v>230</v>
      </c>
      <c r="B1318" t="s">
        <v>58</v>
      </c>
      <c r="C1318" t="s">
        <v>26</v>
      </c>
      <c r="D1318" t="s">
        <v>11</v>
      </c>
      <c r="E1318">
        <v>116</v>
      </c>
      <c r="F1318" s="6">
        <v>3500</v>
      </c>
      <c r="G1318" s="6">
        <v>2500</v>
      </c>
      <c r="H1318" s="6">
        <v>406000</v>
      </c>
      <c r="I1318" s="5">
        <f t="shared" si="20"/>
        <v>116000</v>
      </c>
    </row>
    <row r="1319" spans="1:9" x14ac:dyDescent="0.3">
      <c r="A1319" t="s">
        <v>633</v>
      </c>
      <c r="B1319" t="s">
        <v>43</v>
      </c>
      <c r="C1319" t="s">
        <v>10</v>
      </c>
      <c r="D1319" t="s">
        <v>18</v>
      </c>
      <c r="E1319">
        <v>128</v>
      </c>
      <c r="F1319" s="6">
        <v>6000</v>
      </c>
      <c r="G1319" s="6">
        <v>4000</v>
      </c>
      <c r="H1319" s="6">
        <v>768000</v>
      </c>
      <c r="I1319" s="5">
        <f t="shared" si="20"/>
        <v>256000</v>
      </c>
    </row>
    <row r="1320" spans="1:9" x14ac:dyDescent="0.3">
      <c r="A1320" t="s">
        <v>364</v>
      </c>
      <c r="B1320" t="s">
        <v>13</v>
      </c>
      <c r="C1320" t="s">
        <v>26</v>
      </c>
      <c r="D1320" t="s">
        <v>31</v>
      </c>
      <c r="E1320">
        <v>69</v>
      </c>
      <c r="F1320" s="6">
        <v>1000</v>
      </c>
      <c r="G1320" s="6">
        <v>700</v>
      </c>
      <c r="H1320" s="6">
        <v>69000</v>
      </c>
      <c r="I1320" s="5">
        <f t="shared" si="20"/>
        <v>20700</v>
      </c>
    </row>
    <row r="1321" spans="1:9" x14ac:dyDescent="0.3">
      <c r="A1321" t="s">
        <v>464</v>
      </c>
      <c r="B1321" t="s">
        <v>30</v>
      </c>
      <c r="C1321" t="s">
        <v>26</v>
      </c>
      <c r="D1321" t="s">
        <v>15</v>
      </c>
      <c r="E1321">
        <v>79</v>
      </c>
      <c r="F1321" s="6">
        <v>4000</v>
      </c>
      <c r="G1321" s="6">
        <v>3000</v>
      </c>
      <c r="H1321" s="6">
        <v>316000</v>
      </c>
      <c r="I1321" s="5">
        <f t="shared" si="20"/>
        <v>79000</v>
      </c>
    </row>
    <row r="1322" spans="1:9" x14ac:dyDescent="0.3">
      <c r="A1322" t="s">
        <v>283</v>
      </c>
      <c r="B1322" t="s">
        <v>9</v>
      </c>
      <c r="C1322" t="s">
        <v>14</v>
      </c>
      <c r="D1322" t="s">
        <v>18</v>
      </c>
      <c r="E1322">
        <v>133</v>
      </c>
      <c r="F1322" s="6">
        <v>6000</v>
      </c>
      <c r="G1322" s="6">
        <v>4000</v>
      </c>
      <c r="H1322" s="6">
        <v>798000</v>
      </c>
      <c r="I1322" s="5">
        <f t="shared" si="20"/>
        <v>266000</v>
      </c>
    </row>
    <row r="1323" spans="1:9" x14ac:dyDescent="0.3">
      <c r="A1323" t="s">
        <v>454</v>
      </c>
      <c r="B1323" t="s">
        <v>36</v>
      </c>
      <c r="C1323" t="s">
        <v>17</v>
      </c>
      <c r="D1323" t="s">
        <v>11</v>
      </c>
      <c r="E1323">
        <v>142</v>
      </c>
      <c r="F1323" s="6">
        <v>3500</v>
      </c>
      <c r="G1323" s="6">
        <v>2500</v>
      </c>
      <c r="H1323" s="6">
        <v>497000</v>
      </c>
      <c r="I1323" s="5">
        <f t="shared" si="20"/>
        <v>142000</v>
      </c>
    </row>
    <row r="1324" spans="1:9" x14ac:dyDescent="0.3">
      <c r="A1324" t="s">
        <v>570</v>
      </c>
      <c r="B1324" t="s">
        <v>36</v>
      </c>
      <c r="C1324" t="s">
        <v>26</v>
      </c>
      <c r="D1324" t="s">
        <v>18</v>
      </c>
      <c r="E1324">
        <v>89</v>
      </c>
      <c r="F1324" s="6">
        <v>6000</v>
      </c>
      <c r="G1324" s="6">
        <v>4000</v>
      </c>
      <c r="H1324" s="6">
        <v>534000</v>
      </c>
      <c r="I1324" s="5">
        <f t="shared" si="20"/>
        <v>178000</v>
      </c>
    </row>
    <row r="1325" spans="1:9" x14ac:dyDescent="0.3">
      <c r="A1325" t="s">
        <v>634</v>
      </c>
      <c r="B1325" t="s">
        <v>28</v>
      </c>
      <c r="C1325" t="s">
        <v>14</v>
      </c>
      <c r="D1325" t="s">
        <v>15</v>
      </c>
      <c r="E1325">
        <v>101</v>
      </c>
      <c r="F1325" s="6">
        <v>4000</v>
      </c>
      <c r="G1325" s="6">
        <v>3000</v>
      </c>
      <c r="H1325" s="6">
        <v>404000</v>
      </c>
      <c r="I1325" s="5">
        <f t="shared" si="20"/>
        <v>101000</v>
      </c>
    </row>
    <row r="1326" spans="1:9" x14ac:dyDescent="0.3">
      <c r="A1326" t="s">
        <v>499</v>
      </c>
      <c r="B1326" t="s">
        <v>30</v>
      </c>
      <c r="C1326" t="s">
        <v>26</v>
      </c>
      <c r="D1326" t="s">
        <v>18</v>
      </c>
      <c r="E1326">
        <v>127</v>
      </c>
      <c r="F1326" s="6">
        <v>6000</v>
      </c>
      <c r="G1326" s="6">
        <v>4000</v>
      </c>
      <c r="H1326" s="6">
        <v>762000</v>
      </c>
      <c r="I1326" s="5">
        <f t="shared" si="20"/>
        <v>254000</v>
      </c>
    </row>
    <row r="1327" spans="1:9" x14ac:dyDescent="0.3">
      <c r="A1327" t="s">
        <v>635</v>
      </c>
      <c r="B1327" t="s">
        <v>9</v>
      </c>
      <c r="C1327" t="s">
        <v>17</v>
      </c>
      <c r="D1327" t="s">
        <v>11</v>
      </c>
      <c r="E1327">
        <v>88</v>
      </c>
      <c r="F1327" s="6">
        <v>3500</v>
      </c>
      <c r="G1327" s="6">
        <v>2500</v>
      </c>
      <c r="H1327" s="6">
        <v>308000</v>
      </c>
      <c r="I1327" s="5">
        <f t="shared" si="20"/>
        <v>88000</v>
      </c>
    </row>
    <row r="1328" spans="1:9" x14ac:dyDescent="0.3">
      <c r="A1328" t="s">
        <v>636</v>
      </c>
      <c r="B1328" t="s">
        <v>40</v>
      </c>
      <c r="C1328" t="s">
        <v>14</v>
      </c>
      <c r="D1328" t="s">
        <v>15</v>
      </c>
      <c r="E1328">
        <v>145</v>
      </c>
      <c r="F1328" s="6">
        <v>4000</v>
      </c>
      <c r="G1328" s="6">
        <v>3000</v>
      </c>
      <c r="H1328" s="6">
        <v>580000</v>
      </c>
      <c r="I1328" s="5">
        <f t="shared" si="20"/>
        <v>145000</v>
      </c>
    </row>
    <row r="1329" spans="1:9" x14ac:dyDescent="0.3">
      <c r="A1329" t="s">
        <v>54</v>
      </c>
      <c r="B1329" t="s">
        <v>30</v>
      </c>
      <c r="C1329" t="s">
        <v>26</v>
      </c>
      <c r="D1329" t="s">
        <v>15</v>
      </c>
      <c r="E1329">
        <v>148</v>
      </c>
      <c r="F1329" s="6">
        <v>4000</v>
      </c>
      <c r="G1329" s="6">
        <v>3000</v>
      </c>
      <c r="H1329" s="6">
        <v>592000</v>
      </c>
      <c r="I1329" s="5">
        <f t="shared" si="20"/>
        <v>148000</v>
      </c>
    </row>
    <row r="1330" spans="1:9" x14ac:dyDescent="0.3">
      <c r="A1330" t="s">
        <v>302</v>
      </c>
      <c r="B1330" t="s">
        <v>23</v>
      </c>
      <c r="C1330" t="s">
        <v>14</v>
      </c>
      <c r="D1330" t="s">
        <v>18</v>
      </c>
      <c r="E1330">
        <v>145</v>
      </c>
      <c r="F1330" s="6">
        <v>6000</v>
      </c>
      <c r="G1330" s="6">
        <v>4000</v>
      </c>
      <c r="H1330" s="6">
        <v>870000</v>
      </c>
      <c r="I1330" s="5">
        <f t="shared" si="20"/>
        <v>290000</v>
      </c>
    </row>
    <row r="1331" spans="1:9" x14ac:dyDescent="0.3">
      <c r="A1331" t="s">
        <v>228</v>
      </c>
      <c r="B1331" t="s">
        <v>36</v>
      </c>
      <c r="C1331" t="s">
        <v>17</v>
      </c>
      <c r="D1331" t="s">
        <v>15</v>
      </c>
      <c r="E1331">
        <v>83</v>
      </c>
      <c r="F1331" s="6">
        <v>4000</v>
      </c>
      <c r="G1331" s="6">
        <v>3000</v>
      </c>
      <c r="H1331" s="6">
        <v>332000</v>
      </c>
      <c r="I1331" s="5">
        <f t="shared" si="20"/>
        <v>83000</v>
      </c>
    </row>
    <row r="1332" spans="1:9" x14ac:dyDescent="0.3">
      <c r="A1332" t="s">
        <v>435</v>
      </c>
      <c r="B1332" t="s">
        <v>36</v>
      </c>
      <c r="C1332" t="s">
        <v>26</v>
      </c>
      <c r="D1332" t="s">
        <v>15</v>
      </c>
      <c r="E1332">
        <v>60</v>
      </c>
      <c r="F1332" s="6">
        <v>4000</v>
      </c>
      <c r="G1332" s="6">
        <v>3000</v>
      </c>
      <c r="H1332" s="6">
        <v>240000</v>
      </c>
      <c r="I1332" s="5">
        <f t="shared" si="20"/>
        <v>60000</v>
      </c>
    </row>
    <row r="1333" spans="1:9" x14ac:dyDescent="0.3">
      <c r="A1333" t="s">
        <v>630</v>
      </c>
      <c r="B1333" t="s">
        <v>43</v>
      </c>
      <c r="C1333" t="s">
        <v>26</v>
      </c>
      <c r="D1333" t="s">
        <v>11</v>
      </c>
      <c r="E1333">
        <v>100</v>
      </c>
      <c r="F1333" s="6">
        <v>3500</v>
      </c>
      <c r="G1333" s="6">
        <v>2500</v>
      </c>
      <c r="H1333" s="6">
        <v>350000</v>
      </c>
      <c r="I1333" s="5">
        <f t="shared" si="20"/>
        <v>100000</v>
      </c>
    </row>
    <row r="1334" spans="1:9" x14ac:dyDescent="0.3">
      <c r="A1334" t="s">
        <v>604</v>
      </c>
      <c r="B1334" t="s">
        <v>13</v>
      </c>
      <c r="C1334" t="s">
        <v>17</v>
      </c>
      <c r="D1334" t="s">
        <v>34</v>
      </c>
      <c r="E1334">
        <v>120</v>
      </c>
      <c r="F1334" s="6">
        <v>10000</v>
      </c>
      <c r="G1334" s="6">
        <v>7000</v>
      </c>
      <c r="H1334" s="6">
        <v>1200000</v>
      </c>
      <c r="I1334" s="5">
        <f t="shared" si="20"/>
        <v>360000</v>
      </c>
    </row>
    <row r="1335" spans="1:9" x14ac:dyDescent="0.3">
      <c r="A1335" t="s">
        <v>295</v>
      </c>
      <c r="B1335" t="s">
        <v>23</v>
      </c>
      <c r="C1335" t="s">
        <v>26</v>
      </c>
      <c r="D1335" t="s">
        <v>31</v>
      </c>
      <c r="E1335">
        <v>62</v>
      </c>
      <c r="F1335" s="6">
        <v>1000</v>
      </c>
      <c r="G1335" s="6">
        <v>700</v>
      </c>
      <c r="H1335" s="6">
        <v>62000</v>
      </c>
      <c r="I1335" s="5">
        <f t="shared" si="20"/>
        <v>18600</v>
      </c>
    </row>
    <row r="1336" spans="1:9" x14ac:dyDescent="0.3">
      <c r="A1336" t="s">
        <v>441</v>
      </c>
      <c r="B1336" t="s">
        <v>20</v>
      </c>
      <c r="C1336" t="s">
        <v>17</v>
      </c>
      <c r="D1336" t="s">
        <v>31</v>
      </c>
      <c r="E1336">
        <v>89</v>
      </c>
      <c r="F1336" s="6">
        <v>1000</v>
      </c>
      <c r="G1336" s="6">
        <v>700</v>
      </c>
      <c r="H1336" s="6">
        <v>89000</v>
      </c>
      <c r="I1336" s="5">
        <f t="shared" si="20"/>
        <v>26700</v>
      </c>
    </row>
    <row r="1337" spans="1:9" x14ac:dyDescent="0.3">
      <c r="A1337" t="s">
        <v>422</v>
      </c>
      <c r="B1337" t="s">
        <v>28</v>
      </c>
      <c r="C1337" t="s">
        <v>10</v>
      </c>
      <c r="D1337" t="s">
        <v>18</v>
      </c>
      <c r="E1337">
        <v>144</v>
      </c>
      <c r="F1337" s="6">
        <v>6000</v>
      </c>
      <c r="G1337" s="6">
        <v>4000</v>
      </c>
      <c r="H1337" s="6">
        <v>864000</v>
      </c>
      <c r="I1337" s="5">
        <f t="shared" si="20"/>
        <v>288000</v>
      </c>
    </row>
    <row r="1338" spans="1:9" x14ac:dyDescent="0.3">
      <c r="A1338" t="s">
        <v>175</v>
      </c>
      <c r="B1338" t="s">
        <v>43</v>
      </c>
      <c r="C1338" t="s">
        <v>14</v>
      </c>
      <c r="D1338" t="s">
        <v>21</v>
      </c>
      <c r="E1338">
        <v>131</v>
      </c>
      <c r="F1338" s="6">
        <v>600</v>
      </c>
      <c r="G1338" s="6">
        <v>400</v>
      </c>
      <c r="H1338" s="6">
        <v>78600</v>
      </c>
      <c r="I1338" s="5">
        <f t="shared" si="20"/>
        <v>26200</v>
      </c>
    </row>
    <row r="1339" spans="1:9" x14ac:dyDescent="0.3">
      <c r="A1339" t="s">
        <v>161</v>
      </c>
      <c r="B1339" t="s">
        <v>36</v>
      </c>
      <c r="C1339" t="s">
        <v>10</v>
      </c>
      <c r="D1339" t="s">
        <v>34</v>
      </c>
      <c r="E1339">
        <v>119</v>
      </c>
      <c r="F1339" s="6">
        <v>10000</v>
      </c>
      <c r="G1339" s="6">
        <v>7000</v>
      </c>
      <c r="H1339" s="6">
        <v>1190000</v>
      </c>
      <c r="I1339" s="5">
        <f t="shared" si="20"/>
        <v>357000</v>
      </c>
    </row>
    <row r="1340" spans="1:9" x14ac:dyDescent="0.3">
      <c r="A1340" t="s">
        <v>547</v>
      </c>
      <c r="B1340" t="s">
        <v>13</v>
      </c>
      <c r="C1340" t="s">
        <v>26</v>
      </c>
      <c r="D1340" t="s">
        <v>11</v>
      </c>
      <c r="E1340">
        <v>120</v>
      </c>
      <c r="F1340" s="6">
        <v>3500</v>
      </c>
      <c r="G1340" s="6">
        <v>2500</v>
      </c>
      <c r="H1340" s="6">
        <v>420000</v>
      </c>
      <c r="I1340" s="5">
        <f t="shared" si="20"/>
        <v>120000</v>
      </c>
    </row>
    <row r="1341" spans="1:9" x14ac:dyDescent="0.3">
      <c r="A1341" t="s">
        <v>291</v>
      </c>
      <c r="B1341" t="s">
        <v>13</v>
      </c>
      <c r="C1341" t="s">
        <v>26</v>
      </c>
      <c r="D1341" t="s">
        <v>24</v>
      </c>
      <c r="E1341">
        <v>95</v>
      </c>
      <c r="F1341" s="6">
        <v>1200</v>
      </c>
      <c r="G1341" s="6">
        <v>800</v>
      </c>
      <c r="H1341" s="6">
        <v>114000</v>
      </c>
      <c r="I1341" s="5">
        <f t="shared" si="20"/>
        <v>38000</v>
      </c>
    </row>
    <row r="1342" spans="1:9" x14ac:dyDescent="0.3">
      <c r="A1342" t="s">
        <v>133</v>
      </c>
      <c r="B1342" t="s">
        <v>36</v>
      </c>
      <c r="C1342" t="s">
        <v>14</v>
      </c>
      <c r="D1342" t="s">
        <v>31</v>
      </c>
      <c r="E1342">
        <v>83</v>
      </c>
      <c r="F1342" s="6">
        <v>1000</v>
      </c>
      <c r="G1342" s="6">
        <v>700</v>
      </c>
      <c r="H1342" s="6">
        <v>83000</v>
      </c>
      <c r="I1342" s="5">
        <f t="shared" si="20"/>
        <v>24900</v>
      </c>
    </row>
    <row r="1343" spans="1:9" x14ac:dyDescent="0.3">
      <c r="A1343" t="s">
        <v>637</v>
      </c>
      <c r="B1343" t="s">
        <v>58</v>
      </c>
      <c r="C1343" t="s">
        <v>26</v>
      </c>
      <c r="D1343" t="s">
        <v>31</v>
      </c>
      <c r="E1343">
        <v>150</v>
      </c>
      <c r="F1343" s="6">
        <v>1000</v>
      </c>
      <c r="G1343" s="6">
        <v>700</v>
      </c>
      <c r="H1343" s="6">
        <v>150000</v>
      </c>
      <c r="I1343" s="5">
        <f t="shared" si="20"/>
        <v>45000</v>
      </c>
    </row>
    <row r="1344" spans="1:9" x14ac:dyDescent="0.3">
      <c r="A1344" t="s">
        <v>162</v>
      </c>
      <c r="B1344" t="s">
        <v>30</v>
      </c>
      <c r="C1344" t="s">
        <v>14</v>
      </c>
      <c r="D1344" t="s">
        <v>15</v>
      </c>
      <c r="E1344">
        <v>66</v>
      </c>
      <c r="F1344" s="6">
        <v>4000</v>
      </c>
      <c r="G1344" s="6">
        <v>3000</v>
      </c>
      <c r="H1344" s="6">
        <v>264000</v>
      </c>
      <c r="I1344" s="5">
        <f t="shared" si="20"/>
        <v>66000</v>
      </c>
    </row>
    <row r="1345" spans="1:9" x14ac:dyDescent="0.3">
      <c r="A1345" t="s">
        <v>434</v>
      </c>
      <c r="B1345" t="s">
        <v>9</v>
      </c>
      <c r="C1345" t="s">
        <v>14</v>
      </c>
      <c r="D1345" t="s">
        <v>15</v>
      </c>
      <c r="E1345">
        <v>98</v>
      </c>
      <c r="F1345" s="6">
        <v>4000</v>
      </c>
      <c r="G1345" s="6">
        <v>3000</v>
      </c>
      <c r="H1345" s="6">
        <v>392000</v>
      </c>
      <c r="I1345" s="5">
        <f t="shared" si="20"/>
        <v>98000</v>
      </c>
    </row>
    <row r="1346" spans="1:9" x14ac:dyDescent="0.3">
      <c r="A1346" t="s">
        <v>175</v>
      </c>
      <c r="B1346" t="s">
        <v>28</v>
      </c>
      <c r="C1346" t="s">
        <v>10</v>
      </c>
      <c r="D1346" t="s">
        <v>31</v>
      </c>
      <c r="E1346">
        <v>124</v>
      </c>
      <c r="F1346" s="6">
        <v>1000</v>
      </c>
      <c r="G1346" s="6">
        <v>700</v>
      </c>
      <c r="H1346" s="6">
        <v>124000</v>
      </c>
      <c r="I1346" s="5">
        <f t="shared" ref="I1346:I1409" si="21">H1346-(G1346*E1346)</f>
        <v>37200</v>
      </c>
    </row>
    <row r="1347" spans="1:9" x14ac:dyDescent="0.3">
      <c r="A1347" t="s">
        <v>624</v>
      </c>
      <c r="B1347" t="s">
        <v>43</v>
      </c>
      <c r="C1347" t="s">
        <v>17</v>
      </c>
      <c r="D1347" t="s">
        <v>11</v>
      </c>
      <c r="E1347">
        <v>74</v>
      </c>
      <c r="F1347" s="6">
        <v>3500</v>
      </c>
      <c r="G1347" s="6">
        <v>2500</v>
      </c>
      <c r="H1347" s="6">
        <v>259000</v>
      </c>
      <c r="I1347" s="5">
        <f t="shared" si="21"/>
        <v>74000</v>
      </c>
    </row>
    <row r="1348" spans="1:9" x14ac:dyDescent="0.3">
      <c r="A1348" t="s">
        <v>315</v>
      </c>
      <c r="B1348" t="s">
        <v>40</v>
      </c>
      <c r="C1348" t="s">
        <v>17</v>
      </c>
      <c r="D1348" t="s">
        <v>21</v>
      </c>
      <c r="E1348">
        <v>63</v>
      </c>
      <c r="F1348" s="6">
        <v>600</v>
      </c>
      <c r="G1348" s="6">
        <v>400</v>
      </c>
      <c r="H1348" s="6">
        <v>37800</v>
      </c>
      <c r="I1348" s="5">
        <f t="shared" si="21"/>
        <v>12600</v>
      </c>
    </row>
    <row r="1349" spans="1:9" x14ac:dyDescent="0.3">
      <c r="A1349" t="s">
        <v>284</v>
      </c>
      <c r="B1349" t="s">
        <v>58</v>
      </c>
      <c r="C1349" t="s">
        <v>26</v>
      </c>
      <c r="D1349" t="s">
        <v>11</v>
      </c>
      <c r="E1349">
        <v>75</v>
      </c>
      <c r="F1349" s="6">
        <v>3500</v>
      </c>
      <c r="G1349" s="6">
        <v>2500</v>
      </c>
      <c r="H1349" s="6">
        <v>262500</v>
      </c>
      <c r="I1349" s="5">
        <f t="shared" si="21"/>
        <v>75000</v>
      </c>
    </row>
    <row r="1350" spans="1:9" x14ac:dyDescent="0.3">
      <c r="A1350" t="s">
        <v>140</v>
      </c>
      <c r="B1350" t="s">
        <v>30</v>
      </c>
      <c r="C1350" t="s">
        <v>17</v>
      </c>
      <c r="D1350" t="s">
        <v>15</v>
      </c>
      <c r="E1350">
        <v>114</v>
      </c>
      <c r="F1350" s="6">
        <v>4000</v>
      </c>
      <c r="G1350" s="6">
        <v>3000</v>
      </c>
      <c r="H1350" s="6">
        <v>456000</v>
      </c>
      <c r="I1350" s="5">
        <f t="shared" si="21"/>
        <v>114000</v>
      </c>
    </row>
    <row r="1351" spans="1:9" x14ac:dyDescent="0.3">
      <c r="A1351" t="s">
        <v>182</v>
      </c>
      <c r="B1351" t="s">
        <v>58</v>
      </c>
      <c r="C1351" t="s">
        <v>17</v>
      </c>
      <c r="D1351" t="s">
        <v>34</v>
      </c>
      <c r="E1351">
        <v>61</v>
      </c>
      <c r="F1351" s="6">
        <v>10000</v>
      </c>
      <c r="G1351" s="6">
        <v>7000</v>
      </c>
      <c r="H1351" s="6">
        <v>610000</v>
      </c>
      <c r="I1351" s="5">
        <f t="shared" si="21"/>
        <v>183000</v>
      </c>
    </row>
    <row r="1352" spans="1:9" x14ac:dyDescent="0.3">
      <c r="A1352" t="s">
        <v>399</v>
      </c>
      <c r="B1352" t="s">
        <v>20</v>
      </c>
      <c r="C1352" t="s">
        <v>14</v>
      </c>
      <c r="D1352" t="s">
        <v>34</v>
      </c>
      <c r="E1352">
        <v>99</v>
      </c>
      <c r="F1352" s="6">
        <v>10000</v>
      </c>
      <c r="G1352" s="6">
        <v>7000</v>
      </c>
      <c r="H1352" s="6">
        <v>990000</v>
      </c>
      <c r="I1352" s="5">
        <f t="shared" si="21"/>
        <v>297000</v>
      </c>
    </row>
    <row r="1353" spans="1:9" x14ac:dyDescent="0.3">
      <c r="A1353" t="s">
        <v>372</v>
      </c>
      <c r="B1353" t="s">
        <v>40</v>
      </c>
      <c r="C1353" t="s">
        <v>10</v>
      </c>
      <c r="D1353" t="s">
        <v>21</v>
      </c>
      <c r="E1353">
        <v>60</v>
      </c>
      <c r="F1353" s="6">
        <v>600</v>
      </c>
      <c r="G1353" s="6">
        <v>400</v>
      </c>
      <c r="H1353" s="6">
        <v>36000</v>
      </c>
      <c r="I1353" s="5">
        <f t="shared" si="21"/>
        <v>12000</v>
      </c>
    </row>
    <row r="1354" spans="1:9" x14ac:dyDescent="0.3">
      <c r="A1354" t="s">
        <v>638</v>
      </c>
      <c r="B1354" t="s">
        <v>23</v>
      </c>
      <c r="C1354" t="s">
        <v>10</v>
      </c>
      <c r="D1354" t="s">
        <v>21</v>
      </c>
      <c r="E1354">
        <v>117</v>
      </c>
      <c r="F1354" s="6">
        <v>600</v>
      </c>
      <c r="G1354" s="6">
        <v>400</v>
      </c>
      <c r="H1354" s="6">
        <v>70200</v>
      </c>
      <c r="I1354" s="5">
        <f t="shared" si="21"/>
        <v>23400</v>
      </c>
    </row>
    <row r="1355" spans="1:9" x14ac:dyDescent="0.3">
      <c r="A1355" t="s">
        <v>118</v>
      </c>
      <c r="B1355" t="s">
        <v>58</v>
      </c>
      <c r="C1355" t="s">
        <v>17</v>
      </c>
      <c r="D1355" t="s">
        <v>11</v>
      </c>
      <c r="E1355">
        <v>107</v>
      </c>
      <c r="F1355" s="6">
        <v>3500</v>
      </c>
      <c r="G1355" s="6">
        <v>2500</v>
      </c>
      <c r="H1355" s="6">
        <v>374500</v>
      </c>
      <c r="I1355" s="5">
        <f t="shared" si="21"/>
        <v>107000</v>
      </c>
    </row>
    <row r="1356" spans="1:9" x14ac:dyDescent="0.3">
      <c r="A1356" t="s">
        <v>309</v>
      </c>
      <c r="B1356" t="s">
        <v>20</v>
      </c>
      <c r="C1356" t="s">
        <v>26</v>
      </c>
      <c r="D1356" t="s">
        <v>21</v>
      </c>
      <c r="E1356">
        <v>143</v>
      </c>
      <c r="F1356" s="6">
        <v>600</v>
      </c>
      <c r="G1356" s="6">
        <v>400</v>
      </c>
      <c r="H1356" s="6">
        <v>85800</v>
      </c>
      <c r="I1356" s="5">
        <f t="shared" si="21"/>
        <v>28600</v>
      </c>
    </row>
    <row r="1357" spans="1:9" x14ac:dyDescent="0.3">
      <c r="A1357" t="s">
        <v>237</v>
      </c>
      <c r="B1357" t="s">
        <v>13</v>
      </c>
      <c r="C1357" t="s">
        <v>26</v>
      </c>
      <c r="D1357" t="s">
        <v>11</v>
      </c>
      <c r="E1357">
        <v>81</v>
      </c>
      <c r="F1357" s="6">
        <v>3500</v>
      </c>
      <c r="G1357" s="6">
        <v>2500</v>
      </c>
      <c r="H1357" s="6">
        <v>283500</v>
      </c>
      <c r="I1357" s="5">
        <f t="shared" si="21"/>
        <v>81000</v>
      </c>
    </row>
    <row r="1358" spans="1:9" x14ac:dyDescent="0.3">
      <c r="A1358" t="s">
        <v>187</v>
      </c>
      <c r="B1358" t="s">
        <v>9</v>
      </c>
      <c r="C1358" t="s">
        <v>10</v>
      </c>
      <c r="D1358" t="s">
        <v>24</v>
      </c>
      <c r="E1358">
        <v>121</v>
      </c>
      <c r="F1358" s="6">
        <v>1200</v>
      </c>
      <c r="G1358" s="6">
        <v>800</v>
      </c>
      <c r="H1358" s="6">
        <v>145200</v>
      </c>
      <c r="I1358" s="5">
        <f t="shared" si="21"/>
        <v>48400</v>
      </c>
    </row>
    <row r="1359" spans="1:9" x14ac:dyDescent="0.3">
      <c r="A1359" t="s">
        <v>355</v>
      </c>
      <c r="B1359" t="s">
        <v>36</v>
      </c>
      <c r="C1359" t="s">
        <v>14</v>
      </c>
      <c r="D1359" t="s">
        <v>34</v>
      </c>
      <c r="E1359">
        <v>150</v>
      </c>
      <c r="F1359" s="6">
        <v>10000</v>
      </c>
      <c r="G1359" s="6">
        <v>7000</v>
      </c>
      <c r="H1359" s="6">
        <v>1500000</v>
      </c>
      <c r="I1359" s="5">
        <f t="shared" si="21"/>
        <v>450000</v>
      </c>
    </row>
    <row r="1360" spans="1:9" x14ac:dyDescent="0.3">
      <c r="A1360" t="s">
        <v>61</v>
      </c>
      <c r="B1360" t="s">
        <v>36</v>
      </c>
      <c r="C1360" t="s">
        <v>14</v>
      </c>
      <c r="D1360" t="s">
        <v>18</v>
      </c>
      <c r="E1360">
        <v>126</v>
      </c>
      <c r="F1360" s="6">
        <v>6000</v>
      </c>
      <c r="G1360" s="6">
        <v>4000</v>
      </c>
      <c r="H1360" s="6">
        <v>756000</v>
      </c>
      <c r="I1360" s="5">
        <f t="shared" si="21"/>
        <v>252000</v>
      </c>
    </row>
    <row r="1361" spans="1:9" x14ac:dyDescent="0.3">
      <c r="A1361" t="s">
        <v>457</v>
      </c>
      <c r="B1361" t="s">
        <v>20</v>
      </c>
      <c r="C1361" t="s">
        <v>14</v>
      </c>
      <c r="D1361" t="s">
        <v>24</v>
      </c>
      <c r="E1361">
        <v>89</v>
      </c>
      <c r="F1361" s="6">
        <v>1200</v>
      </c>
      <c r="G1361" s="6">
        <v>800</v>
      </c>
      <c r="H1361" s="6">
        <v>106800</v>
      </c>
      <c r="I1361" s="5">
        <f t="shared" si="21"/>
        <v>35600</v>
      </c>
    </row>
    <row r="1362" spans="1:9" x14ac:dyDescent="0.3">
      <c r="A1362" t="s">
        <v>349</v>
      </c>
      <c r="B1362" t="s">
        <v>40</v>
      </c>
      <c r="C1362" t="s">
        <v>26</v>
      </c>
      <c r="D1362" t="s">
        <v>24</v>
      </c>
      <c r="E1362">
        <v>109</v>
      </c>
      <c r="F1362" s="6">
        <v>1200</v>
      </c>
      <c r="G1362" s="6">
        <v>800</v>
      </c>
      <c r="H1362" s="6">
        <v>130800</v>
      </c>
      <c r="I1362" s="5">
        <f t="shared" si="21"/>
        <v>43600</v>
      </c>
    </row>
    <row r="1363" spans="1:9" x14ac:dyDescent="0.3">
      <c r="A1363" t="s">
        <v>277</v>
      </c>
      <c r="B1363" t="s">
        <v>9</v>
      </c>
      <c r="C1363" t="s">
        <v>10</v>
      </c>
      <c r="D1363" t="s">
        <v>24</v>
      </c>
      <c r="E1363">
        <v>141</v>
      </c>
      <c r="F1363" s="6">
        <v>1200</v>
      </c>
      <c r="G1363" s="6">
        <v>800</v>
      </c>
      <c r="H1363" s="6">
        <v>169200</v>
      </c>
      <c r="I1363" s="5">
        <f t="shared" si="21"/>
        <v>56400</v>
      </c>
    </row>
    <row r="1364" spans="1:9" x14ac:dyDescent="0.3">
      <c r="A1364" t="s">
        <v>63</v>
      </c>
      <c r="B1364" t="s">
        <v>58</v>
      </c>
      <c r="C1364" t="s">
        <v>17</v>
      </c>
      <c r="D1364" t="s">
        <v>24</v>
      </c>
      <c r="E1364">
        <v>69</v>
      </c>
      <c r="F1364" s="6">
        <v>1200</v>
      </c>
      <c r="G1364" s="6">
        <v>800</v>
      </c>
      <c r="H1364" s="6">
        <v>82800</v>
      </c>
      <c r="I1364" s="5">
        <f t="shared" si="21"/>
        <v>27600</v>
      </c>
    </row>
    <row r="1365" spans="1:9" x14ac:dyDescent="0.3">
      <c r="A1365" t="s">
        <v>579</v>
      </c>
      <c r="B1365" t="s">
        <v>9</v>
      </c>
      <c r="C1365" t="s">
        <v>26</v>
      </c>
      <c r="D1365" t="s">
        <v>24</v>
      </c>
      <c r="E1365">
        <v>72</v>
      </c>
      <c r="F1365" s="6">
        <v>1200</v>
      </c>
      <c r="G1365" s="6">
        <v>800</v>
      </c>
      <c r="H1365" s="6">
        <v>86400</v>
      </c>
      <c r="I1365" s="5">
        <f t="shared" si="21"/>
        <v>28800</v>
      </c>
    </row>
    <row r="1366" spans="1:9" x14ac:dyDescent="0.3">
      <c r="A1366" t="s">
        <v>639</v>
      </c>
      <c r="B1366" t="s">
        <v>23</v>
      </c>
      <c r="C1366" t="s">
        <v>14</v>
      </c>
      <c r="D1366" t="s">
        <v>18</v>
      </c>
      <c r="E1366">
        <v>106</v>
      </c>
      <c r="F1366" s="6">
        <v>6000</v>
      </c>
      <c r="G1366" s="6">
        <v>4000</v>
      </c>
      <c r="H1366" s="6">
        <v>636000</v>
      </c>
      <c r="I1366" s="5">
        <f t="shared" si="21"/>
        <v>212000</v>
      </c>
    </row>
    <row r="1367" spans="1:9" x14ac:dyDescent="0.3">
      <c r="A1367" t="s">
        <v>466</v>
      </c>
      <c r="B1367" t="s">
        <v>30</v>
      </c>
      <c r="C1367" t="s">
        <v>10</v>
      </c>
      <c r="D1367" t="s">
        <v>31</v>
      </c>
      <c r="E1367">
        <v>101</v>
      </c>
      <c r="F1367" s="6">
        <v>1000</v>
      </c>
      <c r="G1367" s="6">
        <v>700</v>
      </c>
      <c r="H1367" s="6">
        <v>101000</v>
      </c>
      <c r="I1367" s="5">
        <f t="shared" si="21"/>
        <v>30300</v>
      </c>
    </row>
    <row r="1368" spans="1:9" x14ac:dyDescent="0.3">
      <c r="A1368" t="s">
        <v>517</v>
      </c>
      <c r="B1368" t="s">
        <v>43</v>
      </c>
      <c r="C1368" t="s">
        <v>26</v>
      </c>
      <c r="D1368" t="s">
        <v>31</v>
      </c>
      <c r="E1368">
        <v>145</v>
      </c>
      <c r="F1368" s="6">
        <v>1000</v>
      </c>
      <c r="G1368" s="6">
        <v>700</v>
      </c>
      <c r="H1368" s="6">
        <v>145000</v>
      </c>
      <c r="I1368" s="5">
        <f t="shared" si="21"/>
        <v>43500</v>
      </c>
    </row>
    <row r="1369" spans="1:9" x14ac:dyDescent="0.3">
      <c r="A1369" t="s">
        <v>370</v>
      </c>
      <c r="B1369" t="s">
        <v>13</v>
      </c>
      <c r="C1369" t="s">
        <v>17</v>
      </c>
      <c r="D1369" t="s">
        <v>18</v>
      </c>
      <c r="E1369">
        <v>111</v>
      </c>
      <c r="F1369" s="6">
        <v>6000</v>
      </c>
      <c r="G1369" s="6">
        <v>4000</v>
      </c>
      <c r="H1369" s="6">
        <v>666000</v>
      </c>
      <c r="I1369" s="5">
        <f t="shared" si="21"/>
        <v>222000</v>
      </c>
    </row>
    <row r="1370" spans="1:9" x14ac:dyDescent="0.3">
      <c r="A1370" t="s">
        <v>200</v>
      </c>
      <c r="B1370" t="s">
        <v>23</v>
      </c>
      <c r="C1370" t="s">
        <v>17</v>
      </c>
      <c r="D1370" t="s">
        <v>31</v>
      </c>
      <c r="E1370">
        <v>87</v>
      </c>
      <c r="F1370" s="6">
        <v>1000</v>
      </c>
      <c r="G1370" s="6">
        <v>700</v>
      </c>
      <c r="H1370" s="6">
        <v>87000</v>
      </c>
      <c r="I1370" s="5">
        <f t="shared" si="21"/>
        <v>26100</v>
      </c>
    </row>
    <row r="1371" spans="1:9" x14ac:dyDescent="0.3">
      <c r="A1371" t="s">
        <v>263</v>
      </c>
      <c r="B1371" t="s">
        <v>20</v>
      </c>
      <c r="C1371" t="s">
        <v>10</v>
      </c>
      <c r="D1371" t="s">
        <v>24</v>
      </c>
      <c r="E1371">
        <v>131</v>
      </c>
      <c r="F1371" s="6">
        <v>1200</v>
      </c>
      <c r="G1371" s="6">
        <v>800</v>
      </c>
      <c r="H1371" s="6">
        <v>157200</v>
      </c>
      <c r="I1371" s="5">
        <f t="shared" si="21"/>
        <v>52400</v>
      </c>
    </row>
    <row r="1372" spans="1:9" x14ac:dyDescent="0.3">
      <c r="A1372" t="s">
        <v>127</v>
      </c>
      <c r="B1372" t="s">
        <v>9</v>
      </c>
      <c r="C1372" t="s">
        <v>17</v>
      </c>
      <c r="D1372" t="s">
        <v>11</v>
      </c>
      <c r="E1372">
        <v>96</v>
      </c>
      <c r="F1372" s="6">
        <v>3500</v>
      </c>
      <c r="G1372" s="6">
        <v>2500</v>
      </c>
      <c r="H1372" s="6">
        <v>336000</v>
      </c>
      <c r="I1372" s="5">
        <f t="shared" si="21"/>
        <v>96000</v>
      </c>
    </row>
    <row r="1373" spans="1:9" x14ac:dyDescent="0.3">
      <c r="A1373" t="s">
        <v>640</v>
      </c>
      <c r="B1373" t="s">
        <v>9</v>
      </c>
      <c r="C1373" t="s">
        <v>26</v>
      </c>
      <c r="D1373" t="s">
        <v>31</v>
      </c>
      <c r="E1373">
        <v>133</v>
      </c>
      <c r="F1373" s="6">
        <v>1000</v>
      </c>
      <c r="G1373" s="6">
        <v>700</v>
      </c>
      <c r="H1373" s="6">
        <v>133000</v>
      </c>
      <c r="I1373" s="5">
        <f t="shared" si="21"/>
        <v>39900</v>
      </c>
    </row>
    <row r="1374" spans="1:9" x14ac:dyDescent="0.3">
      <c r="A1374" t="s">
        <v>461</v>
      </c>
      <c r="B1374" t="s">
        <v>28</v>
      </c>
      <c r="C1374" t="s">
        <v>10</v>
      </c>
      <c r="D1374" t="s">
        <v>24</v>
      </c>
      <c r="E1374">
        <v>107</v>
      </c>
      <c r="F1374" s="6">
        <v>1200</v>
      </c>
      <c r="G1374" s="6">
        <v>800</v>
      </c>
      <c r="H1374" s="6">
        <v>128400</v>
      </c>
      <c r="I1374" s="5">
        <f t="shared" si="21"/>
        <v>42800</v>
      </c>
    </row>
    <row r="1375" spans="1:9" x14ac:dyDescent="0.3">
      <c r="A1375" t="s">
        <v>633</v>
      </c>
      <c r="B1375" t="s">
        <v>23</v>
      </c>
      <c r="C1375" t="s">
        <v>26</v>
      </c>
      <c r="D1375" t="s">
        <v>31</v>
      </c>
      <c r="E1375">
        <v>63</v>
      </c>
      <c r="F1375" s="6">
        <v>1000</v>
      </c>
      <c r="G1375" s="6">
        <v>700</v>
      </c>
      <c r="H1375" s="6">
        <v>63000</v>
      </c>
      <c r="I1375" s="5">
        <f t="shared" si="21"/>
        <v>18900</v>
      </c>
    </row>
    <row r="1376" spans="1:9" x14ac:dyDescent="0.3">
      <c r="A1376" t="s">
        <v>111</v>
      </c>
      <c r="B1376" t="s">
        <v>58</v>
      </c>
      <c r="C1376" t="s">
        <v>26</v>
      </c>
      <c r="D1376" t="s">
        <v>24</v>
      </c>
      <c r="E1376">
        <v>72</v>
      </c>
      <c r="F1376" s="6">
        <v>1200</v>
      </c>
      <c r="G1376" s="6">
        <v>800</v>
      </c>
      <c r="H1376" s="6">
        <v>86400</v>
      </c>
      <c r="I1376" s="5">
        <f t="shared" si="21"/>
        <v>28800</v>
      </c>
    </row>
    <row r="1377" spans="1:9" x14ac:dyDescent="0.3">
      <c r="A1377" t="s">
        <v>457</v>
      </c>
      <c r="B1377" t="s">
        <v>9</v>
      </c>
      <c r="C1377" t="s">
        <v>26</v>
      </c>
      <c r="D1377" t="s">
        <v>11</v>
      </c>
      <c r="E1377">
        <v>121</v>
      </c>
      <c r="F1377" s="6">
        <v>3500</v>
      </c>
      <c r="G1377" s="6">
        <v>2500</v>
      </c>
      <c r="H1377" s="6">
        <v>423500</v>
      </c>
      <c r="I1377" s="5">
        <f t="shared" si="21"/>
        <v>121000</v>
      </c>
    </row>
    <row r="1378" spans="1:9" x14ac:dyDescent="0.3">
      <c r="A1378" t="s">
        <v>402</v>
      </c>
      <c r="B1378" t="s">
        <v>13</v>
      </c>
      <c r="C1378" t="s">
        <v>10</v>
      </c>
      <c r="D1378" t="s">
        <v>34</v>
      </c>
      <c r="E1378">
        <v>52</v>
      </c>
      <c r="F1378" s="6">
        <v>10000</v>
      </c>
      <c r="G1378" s="6">
        <v>7000</v>
      </c>
      <c r="H1378" s="6">
        <v>520000</v>
      </c>
      <c r="I1378" s="5">
        <f t="shared" si="21"/>
        <v>156000</v>
      </c>
    </row>
    <row r="1379" spans="1:9" x14ac:dyDescent="0.3">
      <c r="A1379" t="s">
        <v>592</v>
      </c>
      <c r="B1379" t="s">
        <v>13</v>
      </c>
      <c r="C1379" t="s">
        <v>26</v>
      </c>
      <c r="D1379" t="s">
        <v>31</v>
      </c>
      <c r="E1379">
        <v>150</v>
      </c>
      <c r="F1379" s="6">
        <v>1000</v>
      </c>
      <c r="G1379" s="6">
        <v>700</v>
      </c>
      <c r="H1379" s="6">
        <v>150000</v>
      </c>
      <c r="I1379" s="5">
        <f t="shared" si="21"/>
        <v>45000</v>
      </c>
    </row>
    <row r="1380" spans="1:9" x14ac:dyDescent="0.3">
      <c r="A1380" t="s">
        <v>623</v>
      </c>
      <c r="B1380" t="s">
        <v>30</v>
      </c>
      <c r="C1380" t="s">
        <v>17</v>
      </c>
      <c r="D1380" t="s">
        <v>18</v>
      </c>
      <c r="E1380">
        <v>94</v>
      </c>
      <c r="F1380" s="6">
        <v>6000</v>
      </c>
      <c r="G1380" s="6">
        <v>4000</v>
      </c>
      <c r="H1380" s="6">
        <v>564000</v>
      </c>
      <c r="I1380" s="5">
        <f t="shared" si="21"/>
        <v>188000</v>
      </c>
    </row>
    <row r="1381" spans="1:9" x14ac:dyDescent="0.3">
      <c r="A1381" t="s">
        <v>530</v>
      </c>
      <c r="B1381" t="s">
        <v>28</v>
      </c>
      <c r="C1381" t="s">
        <v>17</v>
      </c>
      <c r="D1381" t="s">
        <v>31</v>
      </c>
      <c r="E1381">
        <v>65</v>
      </c>
      <c r="F1381" s="6">
        <v>1000</v>
      </c>
      <c r="G1381" s="6">
        <v>700</v>
      </c>
      <c r="H1381" s="6">
        <v>65000</v>
      </c>
      <c r="I1381" s="5">
        <f t="shared" si="21"/>
        <v>19500</v>
      </c>
    </row>
    <row r="1382" spans="1:9" x14ac:dyDescent="0.3">
      <c r="A1382" t="s">
        <v>641</v>
      </c>
      <c r="B1382" t="s">
        <v>40</v>
      </c>
      <c r="C1382" t="s">
        <v>17</v>
      </c>
      <c r="D1382" t="s">
        <v>34</v>
      </c>
      <c r="E1382">
        <v>118</v>
      </c>
      <c r="F1382" s="6">
        <v>10000</v>
      </c>
      <c r="G1382" s="6">
        <v>7000</v>
      </c>
      <c r="H1382" s="6">
        <v>1180000</v>
      </c>
      <c r="I1382" s="5">
        <f t="shared" si="21"/>
        <v>354000</v>
      </c>
    </row>
    <row r="1383" spans="1:9" x14ac:dyDescent="0.3">
      <c r="A1383" t="s">
        <v>297</v>
      </c>
      <c r="B1383" t="s">
        <v>13</v>
      </c>
      <c r="C1383" t="s">
        <v>14</v>
      </c>
      <c r="D1383" t="s">
        <v>21</v>
      </c>
      <c r="E1383">
        <v>116</v>
      </c>
      <c r="F1383" s="6">
        <v>600</v>
      </c>
      <c r="G1383" s="6">
        <v>400</v>
      </c>
      <c r="H1383" s="6">
        <v>69600</v>
      </c>
      <c r="I1383" s="5">
        <f t="shared" si="21"/>
        <v>23200</v>
      </c>
    </row>
    <row r="1384" spans="1:9" x14ac:dyDescent="0.3">
      <c r="A1384" t="s">
        <v>345</v>
      </c>
      <c r="B1384" t="s">
        <v>9</v>
      </c>
      <c r="C1384" t="s">
        <v>26</v>
      </c>
      <c r="D1384" t="s">
        <v>34</v>
      </c>
      <c r="E1384">
        <v>135</v>
      </c>
      <c r="F1384" s="6">
        <v>10000</v>
      </c>
      <c r="G1384" s="6">
        <v>7000</v>
      </c>
      <c r="H1384" s="6">
        <v>1350000</v>
      </c>
      <c r="I1384" s="5">
        <f t="shared" si="21"/>
        <v>405000</v>
      </c>
    </row>
    <row r="1385" spans="1:9" x14ac:dyDescent="0.3">
      <c r="A1385" t="s">
        <v>620</v>
      </c>
      <c r="B1385" t="s">
        <v>9</v>
      </c>
      <c r="C1385" t="s">
        <v>17</v>
      </c>
      <c r="D1385" t="s">
        <v>18</v>
      </c>
      <c r="E1385">
        <v>120</v>
      </c>
      <c r="F1385" s="6">
        <v>6000</v>
      </c>
      <c r="G1385" s="6">
        <v>4000</v>
      </c>
      <c r="H1385" s="6">
        <v>720000</v>
      </c>
      <c r="I1385" s="5">
        <f t="shared" si="21"/>
        <v>240000</v>
      </c>
    </row>
    <row r="1386" spans="1:9" x14ac:dyDescent="0.3">
      <c r="A1386" t="s">
        <v>272</v>
      </c>
      <c r="B1386" t="s">
        <v>36</v>
      </c>
      <c r="C1386" t="s">
        <v>14</v>
      </c>
      <c r="D1386" t="s">
        <v>31</v>
      </c>
      <c r="E1386">
        <v>88</v>
      </c>
      <c r="F1386" s="6">
        <v>1000</v>
      </c>
      <c r="G1386" s="6">
        <v>700</v>
      </c>
      <c r="H1386" s="6">
        <v>88000</v>
      </c>
      <c r="I1386" s="5">
        <f t="shared" si="21"/>
        <v>26400</v>
      </c>
    </row>
    <row r="1387" spans="1:9" x14ac:dyDescent="0.3">
      <c r="A1387" t="s">
        <v>612</v>
      </c>
      <c r="B1387" t="s">
        <v>9</v>
      </c>
      <c r="C1387" t="s">
        <v>10</v>
      </c>
      <c r="D1387" t="s">
        <v>11</v>
      </c>
      <c r="E1387">
        <v>51</v>
      </c>
      <c r="F1387" s="6">
        <v>3500</v>
      </c>
      <c r="G1387" s="6">
        <v>2500</v>
      </c>
      <c r="H1387" s="6">
        <v>178500</v>
      </c>
      <c r="I1387" s="5">
        <f t="shared" si="21"/>
        <v>51000</v>
      </c>
    </row>
    <row r="1388" spans="1:9" x14ac:dyDescent="0.3">
      <c r="A1388" t="s">
        <v>621</v>
      </c>
      <c r="B1388" t="s">
        <v>40</v>
      </c>
      <c r="C1388" t="s">
        <v>14</v>
      </c>
      <c r="D1388" t="s">
        <v>24</v>
      </c>
      <c r="E1388">
        <v>117</v>
      </c>
      <c r="F1388" s="6">
        <v>1200</v>
      </c>
      <c r="G1388" s="6">
        <v>800</v>
      </c>
      <c r="H1388" s="6">
        <v>140400</v>
      </c>
      <c r="I1388" s="5">
        <f t="shared" si="21"/>
        <v>46800</v>
      </c>
    </row>
    <row r="1389" spans="1:9" x14ac:dyDescent="0.3">
      <c r="A1389" t="s">
        <v>164</v>
      </c>
      <c r="B1389" t="s">
        <v>20</v>
      </c>
      <c r="C1389" t="s">
        <v>14</v>
      </c>
      <c r="D1389" t="s">
        <v>34</v>
      </c>
      <c r="E1389">
        <v>109</v>
      </c>
      <c r="F1389" s="6">
        <v>10000</v>
      </c>
      <c r="G1389" s="6">
        <v>7000</v>
      </c>
      <c r="H1389" s="6">
        <v>1090000</v>
      </c>
      <c r="I1389" s="5">
        <f t="shared" si="21"/>
        <v>327000</v>
      </c>
    </row>
    <row r="1390" spans="1:9" x14ac:dyDescent="0.3">
      <c r="A1390" t="s">
        <v>581</v>
      </c>
      <c r="B1390" t="s">
        <v>23</v>
      </c>
      <c r="C1390" t="s">
        <v>14</v>
      </c>
      <c r="D1390" t="s">
        <v>18</v>
      </c>
      <c r="E1390">
        <v>113</v>
      </c>
      <c r="F1390" s="6">
        <v>6000</v>
      </c>
      <c r="G1390" s="6">
        <v>4000</v>
      </c>
      <c r="H1390" s="6">
        <v>678000</v>
      </c>
      <c r="I1390" s="5">
        <f t="shared" si="21"/>
        <v>226000</v>
      </c>
    </row>
    <row r="1391" spans="1:9" x14ac:dyDescent="0.3">
      <c r="A1391" t="s">
        <v>301</v>
      </c>
      <c r="B1391" t="s">
        <v>23</v>
      </c>
      <c r="C1391" t="s">
        <v>14</v>
      </c>
      <c r="D1391" t="s">
        <v>18</v>
      </c>
      <c r="E1391">
        <v>136</v>
      </c>
      <c r="F1391" s="6">
        <v>6000</v>
      </c>
      <c r="G1391" s="6">
        <v>4000</v>
      </c>
      <c r="H1391" s="6">
        <v>816000</v>
      </c>
      <c r="I1391" s="5">
        <f t="shared" si="21"/>
        <v>272000</v>
      </c>
    </row>
    <row r="1392" spans="1:9" x14ac:dyDescent="0.3">
      <c r="A1392" t="s">
        <v>549</v>
      </c>
      <c r="B1392" t="s">
        <v>13</v>
      </c>
      <c r="C1392" t="s">
        <v>10</v>
      </c>
      <c r="D1392" t="s">
        <v>34</v>
      </c>
      <c r="E1392">
        <v>105</v>
      </c>
      <c r="F1392" s="6">
        <v>10000</v>
      </c>
      <c r="G1392" s="6">
        <v>7000</v>
      </c>
      <c r="H1392" s="6">
        <v>1050000</v>
      </c>
      <c r="I1392" s="5">
        <f t="shared" si="21"/>
        <v>315000</v>
      </c>
    </row>
    <row r="1393" spans="1:9" x14ac:dyDescent="0.3">
      <c r="A1393" t="s">
        <v>642</v>
      </c>
      <c r="B1393" t="s">
        <v>36</v>
      </c>
      <c r="C1393" t="s">
        <v>14</v>
      </c>
      <c r="D1393" t="s">
        <v>34</v>
      </c>
      <c r="E1393">
        <v>83</v>
      </c>
      <c r="F1393" s="6">
        <v>10000</v>
      </c>
      <c r="G1393" s="6">
        <v>7000</v>
      </c>
      <c r="H1393" s="6">
        <v>830000</v>
      </c>
      <c r="I1393" s="5">
        <f t="shared" si="21"/>
        <v>249000</v>
      </c>
    </row>
    <row r="1394" spans="1:9" x14ac:dyDescent="0.3">
      <c r="A1394" t="s">
        <v>643</v>
      </c>
      <c r="B1394" t="s">
        <v>36</v>
      </c>
      <c r="C1394" t="s">
        <v>17</v>
      </c>
      <c r="D1394" t="s">
        <v>18</v>
      </c>
      <c r="E1394">
        <v>101</v>
      </c>
      <c r="F1394" s="6">
        <v>6000</v>
      </c>
      <c r="G1394" s="6">
        <v>4000</v>
      </c>
      <c r="H1394" s="6">
        <v>606000</v>
      </c>
      <c r="I1394" s="5">
        <f t="shared" si="21"/>
        <v>202000</v>
      </c>
    </row>
    <row r="1395" spans="1:9" x14ac:dyDescent="0.3">
      <c r="A1395" t="s">
        <v>94</v>
      </c>
      <c r="B1395" t="s">
        <v>40</v>
      </c>
      <c r="C1395" t="s">
        <v>14</v>
      </c>
      <c r="D1395" t="s">
        <v>24</v>
      </c>
      <c r="E1395">
        <v>97</v>
      </c>
      <c r="F1395" s="6">
        <v>1200</v>
      </c>
      <c r="G1395" s="6">
        <v>800</v>
      </c>
      <c r="H1395" s="6">
        <v>116400</v>
      </c>
      <c r="I1395" s="5">
        <f t="shared" si="21"/>
        <v>38800</v>
      </c>
    </row>
    <row r="1396" spans="1:9" x14ac:dyDescent="0.3">
      <c r="A1396" t="s">
        <v>232</v>
      </c>
      <c r="B1396" t="s">
        <v>13</v>
      </c>
      <c r="C1396" t="s">
        <v>17</v>
      </c>
      <c r="D1396" t="s">
        <v>21</v>
      </c>
      <c r="E1396">
        <v>86</v>
      </c>
      <c r="F1396" s="6">
        <v>600</v>
      </c>
      <c r="G1396" s="6">
        <v>400</v>
      </c>
      <c r="H1396" s="6">
        <v>51600</v>
      </c>
      <c r="I1396" s="5">
        <f t="shared" si="21"/>
        <v>17200</v>
      </c>
    </row>
    <row r="1397" spans="1:9" x14ac:dyDescent="0.3">
      <c r="A1397" t="s">
        <v>460</v>
      </c>
      <c r="B1397" t="s">
        <v>36</v>
      </c>
      <c r="C1397" t="s">
        <v>10</v>
      </c>
      <c r="D1397" t="s">
        <v>31</v>
      </c>
      <c r="E1397">
        <v>75</v>
      </c>
      <c r="F1397" s="6">
        <v>1000</v>
      </c>
      <c r="G1397" s="6">
        <v>700</v>
      </c>
      <c r="H1397" s="6">
        <v>75000</v>
      </c>
      <c r="I1397" s="5">
        <f t="shared" si="21"/>
        <v>22500</v>
      </c>
    </row>
    <row r="1398" spans="1:9" x14ac:dyDescent="0.3">
      <c r="A1398" t="s">
        <v>131</v>
      </c>
      <c r="B1398" t="s">
        <v>58</v>
      </c>
      <c r="C1398" t="s">
        <v>26</v>
      </c>
      <c r="D1398" t="s">
        <v>15</v>
      </c>
      <c r="E1398">
        <v>90</v>
      </c>
      <c r="F1398" s="6">
        <v>4000</v>
      </c>
      <c r="G1398" s="6">
        <v>3000</v>
      </c>
      <c r="H1398" s="6">
        <v>360000</v>
      </c>
      <c r="I1398" s="5">
        <f t="shared" si="21"/>
        <v>90000</v>
      </c>
    </row>
    <row r="1399" spans="1:9" x14ac:dyDescent="0.3">
      <c r="A1399" t="s">
        <v>84</v>
      </c>
      <c r="B1399" t="s">
        <v>58</v>
      </c>
      <c r="C1399" t="s">
        <v>17</v>
      </c>
      <c r="D1399" t="s">
        <v>21</v>
      </c>
      <c r="E1399">
        <v>145</v>
      </c>
      <c r="F1399" s="6">
        <v>600</v>
      </c>
      <c r="G1399" s="6">
        <v>400</v>
      </c>
      <c r="H1399" s="6">
        <v>87000</v>
      </c>
      <c r="I1399" s="5">
        <f t="shared" si="21"/>
        <v>29000</v>
      </c>
    </row>
    <row r="1400" spans="1:9" x14ac:dyDescent="0.3">
      <c r="A1400" t="s">
        <v>565</v>
      </c>
      <c r="B1400" t="s">
        <v>28</v>
      </c>
      <c r="C1400" t="s">
        <v>17</v>
      </c>
      <c r="D1400" t="s">
        <v>21</v>
      </c>
      <c r="E1400">
        <v>128</v>
      </c>
      <c r="F1400" s="6">
        <v>600</v>
      </c>
      <c r="G1400" s="6">
        <v>400</v>
      </c>
      <c r="H1400" s="6">
        <v>76800</v>
      </c>
      <c r="I1400" s="5">
        <f t="shared" si="21"/>
        <v>25600</v>
      </c>
    </row>
    <row r="1401" spans="1:9" x14ac:dyDescent="0.3">
      <c r="A1401" t="s">
        <v>241</v>
      </c>
      <c r="B1401" t="s">
        <v>43</v>
      </c>
      <c r="C1401" t="s">
        <v>26</v>
      </c>
      <c r="D1401" t="s">
        <v>21</v>
      </c>
      <c r="E1401">
        <v>147</v>
      </c>
      <c r="F1401" s="6">
        <v>600</v>
      </c>
      <c r="G1401" s="6">
        <v>400</v>
      </c>
      <c r="H1401" s="6">
        <v>88200</v>
      </c>
      <c r="I1401" s="5">
        <f t="shared" si="21"/>
        <v>29400</v>
      </c>
    </row>
    <row r="1402" spans="1:9" x14ac:dyDescent="0.3">
      <c r="A1402" t="s">
        <v>284</v>
      </c>
      <c r="B1402" t="s">
        <v>36</v>
      </c>
      <c r="C1402" t="s">
        <v>14</v>
      </c>
      <c r="D1402" t="s">
        <v>15</v>
      </c>
      <c r="E1402">
        <v>139</v>
      </c>
      <c r="F1402" s="6">
        <v>4000</v>
      </c>
      <c r="G1402" s="6">
        <v>3000</v>
      </c>
      <c r="H1402" s="6">
        <v>556000</v>
      </c>
      <c r="I1402" s="5">
        <f t="shared" si="21"/>
        <v>139000</v>
      </c>
    </row>
    <row r="1403" spans="1:9" x14ac:dyDescent="0.3">
      <c r="A1403" t="s">
        <v>79</v>
      </c>
      <c r="B1403" t="s">
        <v>40</v>
      </c>
      <c r="C1403" t="s">
        <v>10</v>
      </c>
      <c r="D1403" t="s">
        <v>31</v>
      </c>
      <c r="E1403">
        <v>110</v>
      </c>
      <c r="F1403" s="6">
        <v>1000</v>
      </c>
      <c r="G1403" s="6">
        <v>700</v>
      </c>
      <c r="H1403" s="6">
        <v>110000</v>
      </c>
      <c r="I1403" s="5">
        <f t="shared" si="21"/>
        <v>33000</v>
      </c>
    </row>
    <row r="1404" spans="1:9" x14ac:dyDescent="0.3">
      <c r="A1404" t="s">
        <v>636</v>
      </c>
      <c r="B1404" t="s">
        <v>36</v>
      </c>
      <c r="C1404" t="s">
        <v>10</v>
      </c>
      <c r="D1404" t="s">
        <v>31</v>
      </c>
      <c r="E1404">
        <v>66</v>
      </c>
      <c r="F1404" s="6">
        <v>1000</v>
      </c>
      <c r="G1404" s="6">
        <v>700</v>
      </c>
      <c r="H1404" s="6">
        <v>66000</v>
      </c>
      <c r="I1404" s="5">
        <f t="shared" si="21"/>
        <v>19800</v>
      </c>
    </row>
    <row r="1405" spans="1:9" x14ac:dyDescent="0.3">
      <c r="A1405" t="s">
        <v>175</v>
      </c>
      <c r="B1405" t="s">
        <v>36</v>
      </c>
      <c r="C1405" t="s">
        <v>10</v>
      </c>
      <c r="D1405" t="s">
        <v>11</v>
      </c>
      <c r="E1405">
        <v>83</v>
      </c>
      <c r="F1405" s="6">
        <v>3500</v>
      </c>
      <c r="G1405" s="6">
        <v>2500</v>
      </c>
      <c r="H1405" s="6">
        <v>290500</v>
      </c>
      <c r="I1405" s="5">
        <f t="shared" si="21"/>
        <v>83000</v>
      </c>
    </row>
    <row r="1406" spans="1:9" x14ac:dyDescent="0.3">
      <c r="A1406" t="s">
        <v>60</v>
      </c>
      <c r="B1406" t="s">
        <v>43</v>
      </c>
      <c r="C1406" t="s">
        <v>14</v>
      </c>
      <c r="D1406" t="s">
        <v>15</v>
      </c>
      <c r="E1406">
        <v>74</v>
      </c>
      <c r="F1406" s="6">
        <v>4000</v>
      </c>
      <c r="G1406" s="6">
        <v>3000</v>
      </c>
      <c r="H1406" s="6">
        <v>296000</v>
      </c>
      <c r="I1406" s="5">
        <f t="shared" si="21"/>
        <v>74000</v>
      </c>
    </row>
    <row r="1407" spans="1:9" x14ac:dyDescent="0.3">
      <c r="A1407" t="s">
        <v>337</v>
      </c>
      <c r="B1407" t="s">
        <v>9</v>
      </c>
      <c r="C1407" t="s">
        <v>26</v>
      </c>
      <c r="D1407" t="s">
        <v>11</v>
      </c>
      <c r="E1407">
        <v>145</v>
      </c>
      <c r="F1407" s="6">
        <v>3500</v>
      </c>
      <c r="G1407" s="6">
        <v>2500</v>
      </c>
      <c r="H1407" s="6">
        <v>507500</v>
      </c>
      <c r="I1407" s="5">
        <f t="shared" si="21"/>
        <v>145000</v>
      </c>
    </row>
    <row r="1408" spans="1:9" x14ac:dyDescent="0.3">
      <c r="A1408" t="s">
        <v>147</v>
      </c>
      <c r="B1408" t="s">
        <v>23</v>
      </c>
      <c r="C1408" t="s">
        <v>14</v>
      </c>
      <c r="D1408" t="s">
        <v>11</v>
      </c>
      <c r="E1408">
        <v>133</v>
      </c>
      <c r="F1408" s="6">
        <v>3500</v>
      </c>
      <c r="G1408" s="6">
        <v>2500</v>
      </c>
      <c r="H1408" s="6">
        <v>465500</v>
      </c>
      <c r="I1408" s="5">
        <f t="shared" si="21"/>
        <v>133000</v>
      </c>
    </row>
    <row r="1409" spans="1:9" x14ac:dyDescent="0.3">
      <c r="A1409" t="s">
        <v>195</v>
      </c>
      <c r="B1409" t="s">
        <v>30</v>
      </c>
      <c r="C1409" t="s">
        <v>14</v>
      </c>
      <c r="D1409" t="s">
        <v>31</v>
      </c>
      <c r="E1409">
        <v>52</v>
      </c>
      <c r="F1409" s="6">
        <v>1000</v>
      </c>
      <c r="G1409" s="6">
        <v>700</v>
      </c>
      <c r="H1409" s="6">
        <v>52000</v>
      </c>
      <c r="I1409" s="5">
        <f t="shared" si="21"/>
        <v>15600</v>
      </c>
    </row>
    <row r="1410" spans="1:9" x14ac:dyDescent="0.3">
      <c r="A1410" t="s">
        <v>644</v>
      </c>
      <c r="B1410" t="s">
        <v>40</v>
      </c>
      <c r="C1410" t="s">
        <v>26</v>
      </c>
      <c r="D1410" t="s">
        <v>21</v>
      </c>
      <c r="E1410">
        <v>97</v>
      </c>
      <c r="F1410" s="6">
        <v>600</v>
      </c>
      <c r="G1410" s="6">
        <v>400</v>
      </c>
      <c r="H1410" s="6">
        <v>58200</v>
      </c>
      <c r="I1410" s="5">
        <f t="shared" ref="I1410:I1473" si="22">H1410-(G1410*E1410)</f>
        <v>19400</v>
      </c>
    </row>
    <row r="1411" spans="1:9" x14ac:dyDescent="0.3">
      <c r="A1411" t="s">
        <v>530</v>
      </c>
      <c r="B1411" t="s">
        <v>28</v>
      </c>
      <c r="C1411" t="s">
        <v>14</v>
      </c>
      <c r="D1411" t="s">
        <v>18</v>
      </c>
      <c r="E1411">
        <v>61</v>
      </c>
      <c r="F1411" s="6">
        <v>6000</v>
      </c>
      <c r="G1411" s="6">
        <v>4000</v>
      </c>
      <c r="H1411" s="6">
        <v>366000</v>
      </c>
      <c r="I1411" s="5">
        <f t="shared" si="22"/>
        <v>122000</v>
      </c>
    </row>
    <row r="1412" spans="1:9" x14ac:dyDescent="0.3">
      <c r="A1412" t="s">
        <v>413</v>
      </c>
      <c r="B1412" t="s">
        <v>13</v>
      </c>
      <c r="C1412" t="s">
        <v>17</v>
      </c>
      <c r="D1412" t="s">
        <v>11</v>
      </c>
      <c r="E1412">
        <v>117</v>
      </c>
      <c r="F1412" s="6">
        <v>3500</v>
      </c>
      <c r="G1412" s="6">
        <v>2500</v>
      </c>
      <c r="H1412" s="6">
        <v>409500</v>
      </c>
      <c r="I1412" s="5">
        <f t="shared" si="22"/>
        <v>117000</v>
      </c>
    </row>
    <row r="1413" spans="1:9" x14ac:dyDescent="0.3">
      <c r="A1413" t="s">
        <v>377</v>
      </c>
      <c r="B1413" t="s">
        <v>40</v>
      </c>
      <c r="C1413" t="s">
        <v>26</v>
      </c>
      <c r="D1413" t="s">
        <v>31</v>
      </c>
      <c r="E1413">
        <v>70</v>
      </c>
      <c r="F1413" s="6">
        <v>1000</v>
      </c>
      <c r="G1413" s="6">
        <v>700</v>
      </c>
      <c r="H1413" s="6">
        <v>70000</v>
      </c>
      <c r="I1413" s="5">
        <f t="shared" si="22"/>
        <v>21000</v>
      </c>
    </row>
    <row r="1414" spans="1:9" x14ac:dyDescent="0.3">
      <c r="A1414" t="s">
        <v>455</v>
      </c>
      <c r="B1414" t="s">
        <v>30</v>
      </c>
      <c r="C1414" t="s">
        <v>14</v>
      </c>
      <c r="D1414" t="s">
        <v>21</v>
      </c>
      <c r="E1414">
        <v>69</v>
      </c>
      <c r="F1414" s="6">
        <v>600</v>
      </c>
      <c r="G1414" s="6">
        <v>400</v>
      </c>
      <c r="H1414" s="6">
        <v>41400</v>
      </c>
      <c r="I1414" s="5">
        <f t="shared" si="22"/>
        <v>13800</v>
      </c>
    </row>
    <row r="1415" spans="1:9" x14ac:dyDescent="0.3">
      <c r="A1415" t="s">
        <v>509</v>
      </c>
      <c r="B1415" t="s">
        <v>13</v>
      </c>
      <c r="C1415" t="s">
        <v>14</v>
      </c>
      <c r="D1415" t="s">
        <v>34</v>
      </c>
      <c r="E1415">
        <v>63</v>
      </c>
      <c r="F1415" s="6">
        <v>10000</v>
      </c>
      <c r="G1415" s="6">
        <v>7000</v>
      </c>
      <c r="H1415" s="6">
        <v>630000</v>
      </c>
      <c r="I1415" s="5">
        <f t="shared" si="22"/>
        <v>189000</v>
      </c>
    </row>
    <row r="1416" spans="1:9" x14ac:dyDescent="0.3">
      <c r="A1416" t="s">
        <v>340</v>
      </c>
      <c r="B1416" t="s">
        <v>9</v>
      </c>
      <c r="C1416" t="s">
        <v>26</v>
      </c>
      <c r="D1416" t="s">
        <v>11</v>
      </c>
      <c r="E1416">
        <v>134</v>
      </c>
      <c r="F1416" s="6">
        <v>3500</v>
      </c>
      <c r="G1416" s="6">
        <v>2500</v>
      </c>
      <c r="H1416" s="6">
        <v>469000</v>
      </c>
      <c r="I1416" s="5">
        <f t="shared" si="22"/>
        <v>134000</v>
      </c>
    </row>
    <row r="1417" spans="1:9" x14ac:dyDescent="0.3">
      <c r="A1417" t="s">
        <v>600</v>
      </c>
      <c r="B1417" t="s">
        <v>20</v>
      </c>
      <c r="C1417" t="s">
        <v>14</v>
      </c>
      <c r="D1417" t="s">
        <v>21</v>
      </c>
      <c r="E1417">
        <v>142</v>
      </c>
      <c r="F1417" s="6">
        <v>600</v>
      </c>
      <c r="G1417" s="6">
        <v>400</v>
      </c>
      <c r="H1417" s="6">
        <v>85200</v>
      </c>
      <c r="I1417" s="5">
        <f t="shared" si="22"/>
        <v>28400</v>
      </c>
    </row>
    <row r="1418" spans="1:9" x14ac:dyDescent="0.3">
      <c r="A1418" t="s">
        <v>192</v>
      </c>
      <c r="B1418" t="s">
        <v>23</v>
      </c>
      <c r="C1418" t="s">
        <v>14</v>
      </c>
      <c r="D1418" t="s">
        <v>34</v>
      </c>
      <c r="E1418">
        <v>95</v>
      </c>
      <c r="F1418" s="6">
        <v>10000</v>
      </c>
      <c r="G1418" s="6">
        <v>7000</v>
      </c>
      <c r="H1418" s="6">
        <v>950000</v>
      </c>
      <c r="I1418" s="5">
        <f t="shared" si="22"/>
        <v>285000</v>
      </c>
    </row>
    <row r="1419" spans="1:9" x14ac:dyDescent="0.3">
      <c r="A1419" t="s">
        <v>492</v>
      </c>
      <c r="B1419" t="s">
        <v>9</v>
      </c>
      <c r="C1419" t="s">
        <v>14</v>
      </c>
      <c r="D1419" t="s">
        <v>21</v>
      </c>
      <c r="E1419">
        <v>91</v>
      </c>
      <c r="F1419" s="6">
        <v>600</v>
      </c>
      <c r="G1419" s="6">
        <v>400</v>
      </c>
      <c r="H1419" s="6">
        <v>54600</v>
      </c>
      <c r="I1419" s="5">
        <f t="shared" si="22"/>
        <v>18200</v>
      </c>
    </row>
    <row r="1420" spans="1:9" x14ac:dyDescent="0.3">
      <c r="A1420" t="s">
        <v>334</v>
      </c>
      <c r="B1420" t="s">
        <v>23</v>
      </c>
      <c r="C1420" t="s">
        <v>10</v>
      </c>
      <c r="D1420" t="s">
        <v>21</v>
      </c>
      <c r="E1420">
        <v>109</v>
      </c>
      <c r="F1420" s="6">
        <v>600</v>
      </c>
      <c r="G1420" s="6">
        <v>400</v>
      </c>
      <c r="H1420" s="6">
        <v>65400</v>
      </c>
      <c r="I1420" s="5">
        <f t="shared" si="22"/>
        <v>21800</v>
      </c>
    </row>
    <row r="1421" spans="1:9" x14ac:dyDescent="0.3">
      <c r="A1421" t="s">
        <v>552</v>
      </c>
      <c r="B1421" t="s">
        <v>13</v>
      </c>
      <c r="C1421" t="s">
        <v>10</v>
      </c>
      <c r="D1421" t="s">
        <v>31</v>
      </c>
      <c r="E1421">
        <v>126</v>
      </c>
      <c r="F1421" s="6">
        <v>1000</v>
      </c>
      <c r="G1421" s="6">
        <v>700</v>
      </c>
      <c r="H1421" s="6">
        <v>126000</v>
      </c>
      <c r="I1421" s="5">
        <f t="shared" si="22"/>
        <v>37800</v>
      </c>
    </row>
    <row r="1422" spans="1:9" x14ac:dyDescent="0.3">
      <c r="A1422" t="s">
        <v>292</v>
      </c>
      <c r="B1422" t="s">
        <v>13</v>
      </c>
      <c r="C1422" t="s">
        <v>26</v>
      </c>
      <c r="D1422" t="s">
        <v>31</v>
      </c>
      <c r="E1422">
        <v>99</v>
      </c>
      <c r="F1422" s="6">
        <v>1000</v>
      </c>
      <c r="G1422" s="6">
        <v>700</v>
      </c>
      <c r="H1422" s="6">
        <v>99000</v>
      </c>
      <c r="I1422" s="5">
        <f t="shared" si="22"/>
        <v>29700</v>
      </c>
    </row>
    <row r="1423" spans="1:9" x14ac:dyDescent="0.3">
      <c r="A1423" t="s">
        <v>64</v>
      </c>
      <c r="B1423" t="s">
        <v>30</v>
      </c>
      <c r="C1423" t="s">
        <v>17</v>
      </c>
      <c r="D1423" t="s">
        <v>18</v>
      </c>
      <c r="E1423">
        <v>75</v>
      </c>
      <c r="F1423" s="6">
        <v>6000</v>
      </c>
      <c r="G1423" s="6">
        <v>4000</v>
      </c>
      <c r="H1423" s="6">
        <v>450000</v>
      </c>
      <c r="I1423" s="5">
        <f t="shared" si="22"/>
        <v>150000</v>
      </c>
    </row>
    <row r="1424" spans="1:9" x14ac:dyDescent="0.3">
      <c r="A1424" t="s">
        <v>141</v>
      </c>
      <c r="B1424" t="s">
        <v>36</v>
      </c>
      <c r="C1424" t="s">
        <v>26</v>
      </c>
      <c r="D1424" t="s">
        <v>18</v>
      </c>
      <c r="E1424">
        <v>104</v>
      </c>
      <c r="F1424" s="6">
        <v>6000</v>
      </c>
      <c r="G1424" s="6">
        <v>4000</v>
      </c>
      <c r="H1424" s="6">
        <v>624000</v>
      </c>
      <c r="I1424" s="5">
        <f t="shared" si="22"/>
        <v>208000</v>
      </c>
    </row>
    <row r="1425" spans="1:9" x14ac:dyDescent="0.3">
      <c r="A1425" t="s">
        <v>511</v>
      </c>
      <c r="B1425" t="s">
        <v>13</v>
      </c>
      <c r="C1425" t="s">
        <v>10</v>
      </c>
      <c r="D1425" t="s">
        <v>15</v>
      </c>
      <c r="E1425">
        <v>136</v>
      </c>
      <c r="F1425" s="6">
        <v>4000</v>
      </c>
      <c r="G1425" s="6">
        <v>3000</v>
      </c>
      <c r="H1425" s="6">
        <v>544000</v>
      </c>
      <c r="I1425" s="5">
        <f t="shared" si="22"/>
        <v>136000</v>
      </c>
    </row>
    <row r="1426" spans="1:9" x14ac:dyDescent="0.3">
      <c r="A1426" t="s">
        <v>513</v>
      </c>
      <c r="B1426" t="s">
        <v>36</v>
      </c>
      <c r="C1426" t="s">
        <v>26</v>
      </c>
      <c r="D1426" t="s">
        <v>15</v>
      </c>
      <c r="E1426">
        <v>112</v>
      </c>
      <c r="F1426" s="6">
        <v>4000</v>
      </c>
      <c r="G1426" s="6">
        <v>3000</v>
      </c>
      <c r="H1426" s="6">
        <v>448000</v>
      </c>
      <c r="I1426" s="5">
        <f t="shared" si="22"/>
        <v>112000</v>
      </c>
    </row>
    <row r="1427" spans="1:9" x14ac:dyDescent="0.3">
      <c r="A1427" t="s">
        <v>100</v>
      </c>
      <c r="B1427" t="s">
        <v>58</v>
      </c>
      <c r="C1427" t="s">
        <v>10</v>
      </c>
      <c r="D1427" t="s">
        <v>31</v>
      </c>
      <c r="E1427">
        <v>118</v>
      </c>
      <c r="F1427" s="6">
        <v>1000</v>
      </c>
      <c r="G1427" s="6">
        <v>700</v>
      </c>
      <c r="H1427" s="6">
        <v>118000</v>
      </c>
      <c r="I1427" s="5">
        <f t="shared" si="22"/>
        <v>35400</v>
      </c>
    </row>
    <row r="1428" spans="1:9" x14ac:dyDescent="0.3">
      <c r="A1428" t="s">
        <v>645</v>
      </c>
      <c r="B1428" t="s">
        <v>20</v>
      </c>
      <c r="C1428" t="s">
        <v>10</v>
      </c>
      <c r="D1428" t="s">
        <v>34</v>
      </c>
      <c r="E1428">
        <v>50</v>
      </c>
      <c r="F1428" s="6">
        <v>10000</v>
      </c>
      <c r="G1428" s="6">
        <v>7000</v>
      </c>
      <c r="H1428" s="6">
        <v>500000</v>
      </c>
      <c r="I1428" s="5">
        <f t="shared" si="22"/>
        <v>150000</v>
      </c>
    </row>
    <row r="1429" spans="1:9" x14ac:dyDescent="0.3">
      <c r="A1429" t="s">
        <v>543</v>
      </c>
      <c r="B1429" t="s">
        <v>20</v>
      </c>
      <c r="C1429" t="s">
        <v>10</v>
      </c>
      <c r="D1429" t="s">
        <v>24</v>
      </c>
      <c r="E1429">
        <v>62</v>
      </c>
      <c r="F1429" s="6">
        <v>1200</v>
      </c>
      <c r="G1429" s="6">
        <v>800</v>
      </c>
      <c r="H1429" s="6">
        <v>74400</v>
      </c>
      <c r="I1429" s="5">
        <f t="shared" si="22"/>
        <v>24800</v>
      </c>
    </row>
    <row r="1430" spans="1:9" x14ac:dyDescent="0.3">
      <c r="A1430" t="s">
        <v>646</v>
      </c>
      <c r="B1430" t="s">
        <v>43</v>
      </c>
      <c r="C1430" t="s">
        <v>26</v>
      </c>
      <c r="D1430" t="s">
        <v>24</v>
      </c>
      <c r="E1430">
        <v>105</v>
      </c>
      <c r="F1430" s="6">
        <v>1200</v>
      </c>
      <c r="G1430" s="6">
        <v>800</v>
      </c>
      <c r="H1430" s="6">
        <v>126000</v>
      </c>
      <c r="I1430" s="5">
        <f t="shared" si="22"/>
        <v>42000</v>
      </c>
    </row>
    <row r="1431" spans="1:9" x14ac:dyDescent="0.3">
      <c r="A1431" t="s">
        <v>507</v>
      </c>
      <c r="B1431" t="s">
        <v>36</v>
      </c>
      <c r="C1431" t="s">
        <v>14</v>
      </c>
      <c r="D1431" t="s">
        <v>34</v>
      </c>
      <c r="E1431">
        <v>63</v>
      </c>
      <c r="F1431" s="6">
        <v>10000</v>
      </c>
      <c r="G1431" s="6">
        <v>7000</v>
      </c>
      <c r="H1431" s="6">
        <v>630000</v>
      </c>
      <c r="I1431" s="5">
        <f t="shared" si="22"/>
        <v>189000</v>
      </c>
    </row>
    <row r="1432" spans="1:9" x14ac:dyDescent="0.3">
      <c r="A1432" t="s">
        <v>196</v>
      </c>
      <c r="B1432" t="s">
        <v>58</v>
      </c>
      <c r="C1432" t="s">
        <v>14</v>
      </c>
      <c r="D1432" t="s">
        <v>15</v>
      </c>
      <c r="E1432">
        <v>71</v>
      </c>
      <c r="F1432" s="6">
        <v>4000</v>
      </c>
      <c r="G1432" s="6">
        <v>3000</v>
      </c>
      <c r="H1432" s="6">
        <v>284000</v>
      </c>
      <c r="I1432" s="5">
        <f t="shared" si="22"/>
        <v>71000</v>
      </c>
    </row>
    <row r="1433" spans="1:9" x14ac:dyDescent="0.3">
      <c r="A1433" t="s">
        <v>558</v>
      </c>
      <c r="B1433" t="s">
        <v>13</v>
      </c>
      <c r="C1433" t="s">
        <v>17</v>
      </c>
      <c r="D1433" t="s">
        <v>21</v>
      </c>
      <c r="E1433">
        <v>131</v>
      </c>
      <c r="F1433" s="6">
        <v>600</v>
      </c>
      <c r="G1433" s="6">
        <v>400</v>
      </c>
      <c r="H1433" s="6">
        <v>78600</v>
      </c>
      <c r="I1433" s="5">
        <f t="shared" si="22"/>
        <v>26200</v>
      </c>
    </row>
    <row r="1434" spans="1:9" x14ac:dyDescent="0.3">
      <c r="A1434" t="s">
        <v>505</v>
      </c>
      <c r="B1434" t="s">
        <v>58</v>
      </c>
      <c r="C1434" t="s">
        <v>10</v>
      </c>
      <c r="D1434" t="s">
        <v>31</v>
      </c>
      <c r="E1434">
        <v>108</v>
      </c>
      <c r="F1434" s="6">
        <v>1000</v>
      </c>
      <c r="G1434" s="6">
        <v>700</v>
      </c>
      <c r="H1434" s="6">
        <v>108000</v>
      </c>
      <c r="I1434" s="5">
        <f t="shared" si="22"/>
        <v>32400</v>
      </c>
    </row>
    <row r="1435" spans="1:9" x14ac:dyDescent="0.3">
      <c r="A1435" t="s">
        <v>142</v>
      </c>
      <c r="B1435" t="s">
        <v>28</v>
      </c>
      <c r="C1435" t="s">
        <v>14</v>
      </c>
      <c r="D1435" t="s">
        <v>31</v>
      </c>
      <c r="E1435">
        <v>147</v>
      </c>
      <c r="F1435" s="6">
        <v>1000</v>
      </c>
      <c r="G1435" s="6">
        <v>700</v>
      </c>
      <c r="H1435" s="6">
        <v>147000</v>
      </c>
      <c r="I1435" s="5">
        <f t="shared" si="22"/>
        <v>44100</v>
      </c>
    </row>
    <row r="1436" spans="1:9" x14ac:dyDescent="0.3">
      <c r="A1436" t="s">
        <v>417</v>
      </c>
      <c r="B1436" t="s">
        <v>20</v>
      </c>
      <c r="C1436" t="s">
        <v>10</v>
      </c>
      <c r="D1436" t="s">
        <v>21</v>
      </c>
      <c r="E1436">
        <v>119</v>
      </c>
      <c r="F1436" s="6">
        <v>600</v>
      </c>
      <c r="G1436" s="6">
        <v>400</v>
      </c>
      <c r="H1436" s="6">
        <v>71400</v>
      </c>
      <c r="I1436" s="5">
        <f t="shared" si="22"/>
        <v>23800</v>
      </c>
    </row>
    <row r="1437" spans="1:9" x14ac:dyDescent="0.3">
      <c r="A1437" t="s">
        <v>446</v>
      </c>
      <c r="B1437" t="s">
        <v>23</v>
      </c>
      <c r="C1437" t="s">
        <v>17</v>
      </c>
      <c r="D1437" t="s">
        <v>18</v>
      </c>
      <c r="E1437">
        <v>119</v>
      </c>
      <c r="F1437" s="6">
        <v>6000</v>
      </c>
      <c r="G1437" s="6">
        <v>4000</v>
      </c>
      <c r="H1437" s="6">
        <v>714000</v>
      </c>
      <c r="I1437" s="5">
        <f t="shared" si="22"/>
        <v>238000</v>
      </c>
    </row>
    <row r="1438" spans="1:9" x14ac:dyDescent="0.3">
      <c r="A1438" t="s">
        <v>281</v>
      </c>
      <c r="B1438" t="s">
        <v>28</v>
      </c>
      <c r="C1438" t="s">
        <v>17</v>
      </c>
      <c r="D1438" t="s">
        <v>31</v>
      </c>
      <c r="E1438">
        <v>100</v>
      </c>
      <c r="F1438" s="6">
        <v>1000</v>
      </c>
      <c r="G1438" s="6">
        <v>700</v>
      </c>
      <c r="H1438" s="6">
        <v>100000</v>
      </c>
      <c r="I1438" s="5">
        <f t="shared" si="22"/>
        <v>30000</v>
      </c>
    </row>
    <row r="1439" spans="1:9" x14ac:dyDescent="0.3">
      <c r="A1439" t="s">
        <v>247</v>
      </c>
      <c r="B1439" t="s">
        <v>9</v>
      </c>
      <c r="C1439" t="s">
        <v>14</v>
      </c>
      <c r="D1439" t="s">
        <v>21</v>
      </c>
      <c r="E1439">
        <v>77</v>
      </c>
      <c r="F1439" s="6">
        <v>600</v>
      </c>
      <c r="G1439" s="6">
        <v>400</v>
      </c>
      <c r="H1439" s="6">
        <v>46200</v>
      </c>
      <c r="I1439" s="5">
        <f t="shared" si="22"/>
        <v>15400</v>
      </c>
    </row>
    <row r="1440" spans="1:9" x14ac:dyDescent="0.3">
      <c r="A1440" t="s">
        <v>110</v>
      </c>
      <c r="B1440" t="s">
        <v>36</v>
      </c>
      <c r="C1440" t="s">
        <v>14</v>
      </c>
      <c r="D1440" t="s">
        <v>18</v>
      </c>
      <c r="E1440">
        <v>139</v>
      </c>
      <c r="F1440" s="6">
        <v>6000</v>
      </c>
      <c r="G1440" s="6">
        <v>4000</v>
      </c>
      <c r="H1440" s="6">
        <v>834000</v>
      </c>
      <c r="I1440" s="5">
        <f t="shared" si="22"/>
        <v>278000</v>
      </c>
    </row>
    <row r="1441" spans="1:9" x14ac:dyDescent="0.3">
      <c r="A1441" t="s">
        <v>340</v>
      </c>
      <c r="B1441" t="s">
        <v>20</v>
      </c>
      <c r="C1441" t="s">
        <v>14</v>
      </c>
      <c r="D1441" t="s">
        <v>21</v>
      </c>
      <c r="E1441">
        <v>133</v>
      </c>
      <c r="F1441" s="6">
        <v>600</v>
      </c>
      <c r="G1441" s="6">
        <v>400</v>
      </c>
      <c r="H1441" s="6">
        <v>79800</v>
      </c>
      <c r="I1441" s="5">
        <f t="shared" si="22"/>
        <v>26600</v>
      </c>
    </row>
    <row r="1442" spans="1:9" x14ac:dyDescent="0.3">
      <c r="A1442" t="s">
        <v>613</v>
      </c>
      <c r="B1442" t="s">
        <v>28</v>
      </c>
      <c r="C1442" t="s">
        <v>14</v>
      </c>
      <c r="D1442" t="s">
        <v>31</v>
      </c>
      <c r="E1442">
        <v>60</v>
      </c>
      <c r="F1442" s="6">
        <v>1000</v>
      </c>
      <c r="G1442" s="6">
        <v>700</v>
      </c>
      <c r="H1442" s="6">
        <v>60000</v>
      </c>
      <c r="I1442" s="5">
        <f t="shared" si="22"/>
        <v>18000</v>
      </c>
    </row>
    <row r="1443" spans="1:9" x14ac:dyDescent="0.3">
      <c r="A1443" t="s">
        <v>558</v>
      </c>
      <c r="B1443" t="s">
        <v>9</v>
      </c>
      <c r="C1443" t="s">
        <v>10</v>
      </c>
      <c r="D1443" t="s">
        <v>34</v>
      </c>
      <c r="E1443">
        <v>122</v>
      </c>
      <c r="F1443" s="6">
        <v>10000</v>
      </c>
      <c r="G1443" s="6">
        <v>7000</v>
      </c>
      <c r="H1443" s="6">
        <v>1220000</v>
      </c>
      <c r="I1443" s="5">
        <f t="shared" si="22"/>
        <v>366000</v>
      </c>
    </row>
    <row r="1444" spans="1:9" x14ac:dyDescent="0.3">
      <c r="A1444" t="s">
        <v>647</v>
      </c>
      <c r="B1444" t="s">
        <v>58</v>
      </c>
      <c r="C1444" t="s">
        <v>10</v>
      </c>
      <c r="D1444" t="s">
        <v>15</v>
      </c>
      <c r="E1444">
        <v>98</v>
      </c>
      <c r="F1444" s="6">
        <v>4000</v>
      </c>
      <c r="G1444" s="6">
        <v>3000</v>
      </c>
      <c r="H1444" s="6">
        <v>392000</v>
      </c>
      <c r="I1444" s="5">
        <f t="shared" si="22"/>
        <v>98000</v>
      </c>
    </row>
    <row r="1445" spans="1:9" x14ac:dyDescent="0.3">
      <c r="A1445" t="s">
        <v>379</v>
      </c>
      <c r="B1445" t="s">
        <v>20</v>
      </c>
      <c r="C1445" t="s">
        <v>10</v>
      </c>
      <c r="D1445" t="s">
        <v>24</v>
      </c>
      <c r="E1445">
        <v>124</v>
      </c>
      <c r="F1445" s="6">
        <v>1200</v>
      </c>
      <c r="G1445" s="6">
        <v>800</v>
      </c>
      <c r="H1445" s="6">
        <v>148800</v>
      </c>
      <c r="I1445" s="5">
        <f t="shared" si="22"/>
        <v>49600</v>
      </c>
    </row>
    <row r="1446" spans="1:9" x14ac:dyDescent="0.3">
      <c r="A1446" t="s">
        <v>298</v>
      </c>
      <c r="B1446" t="s">
        <v>13</v>
      </c>
      <c r="C1446" t="s">
        <v>17</v>
      </c>
      <c r="D1446" t="s">
        <v>11</v>
      </c>
      <c r="E1446">
        <v>104</v>
      </c>
      <c r="F1446" s="6">
        <v>3500</v>
      </c>
      <c r="G1446" s="6">
        <v>2500</v>
      </c>
      <c r="H1446" s="6">
        <v>364000</v>
      </c>
      <c r="I1446" s="5">
        <f t="shared" si="22"/>
        <v>104000</v>
      </c>
    </row>
    <row r="1447" spans="1:9" x14ac:dyDescent="0.3">
      <c r="A1447" t="s">
        <v>510</v>
      </c>
      <c r="B1447" t="s">
        <v>28</v>
      </c>
      <c r="C1447" t="s">
        <v>26</v>
      </c>
      <c r="D1447" t="s">
        <v>18</v>
      </c>
      <c r="E1447">
        <v>136</v>
      </c>
      <c r="F1447" s="6">
        <v>6000</v>
      </c>
      <c r="G1447" s="6">
        <v>4000</v>
      </c>
      <c r="H1447" s="6">
        <v>816000</v>
      </c>
      <c r="I1447" s="5">
        <f t="shared" si="22"/>
        <v>272000</v>
      </c>
    </row>
    <row r="1448" spans="1:9" x14ac:dyDescent="0.3">
      <c r="A1448" t="s">
        <v>16</v>
      </c>
      <c r="B1448" t="s">
        <v>40</v>
      </c>
      <c r="C1448" t="s">
        <v>14</v>
      </c>
      <c r="D1448" t="s">
        <v>15</v>
      </c>
      <c r="E1448">
        <v>74</v>
      </c>
      <c r="F1448" s="6">
        <v>4000</v>
      </c>
      <c r="G1448" s="6">
        <v>3000</v>
      </c>
      <c r="H1448" s="6">
        <v>296000</v>
      </c>
      <c r="I1448" s="5">
        <f t="shared" si="22"/>
        <v>74000</v>
      </c>
    </row>
    <row r="1449" spans="1:9" x14ac:dyDescent="0.3">
      <c r="A1449" t="s">
        <v>590</v>
      </c>
      <c r="B1449" t="s">
        <v>58</v>
      </c>
      <c r="C1449" t="s">
        <v>26</v>
      </c>
      <c r="D1449" t="s">
        <v>18</v>
      </c>
      <c r="E1449">
        <v>107</v>
      </c>
      <c r="F1449" s="6">
        <v>6000</v>
      </c>
      <c r="G1449" s="6">
        <v>4000</v>
      </c>
      <c r="H1449" s="6">
        <v>642000</v>
      </c>
      <c r="I1449" s="5">
        <f t="shared" si="22"/>
        <v>214000</v>
      </c>
    </row>
    <row r="1450" spans="1:9" x14ac:dyDescent="0.3">
      <c r="A1450" t="s">
        <v>555</v>
      </c>
      <c r="B1450" t="s">
        <v>23</v>
      </c>
      <c r="C1450" t="s">
        <v>10</v>
      </c>
      <c r="D1450" t="s">
        <v>18</v>
      </c>
      <c r="E1450">
        <v>146</v>
      </c>
      <c r="F1450" s="6">
        <v>6000</v>
      </c>
      <c r="G1450" s="6">
        <v>4000</v>
      </c>
      <c r="H1450" s="6">
        <v>876000</v>
      </c>
      <c r="I1450" s="5">
        <f t="shared" si="22"/>
        <v>292000</v>
      </c>
    </row>
    <row r="1451" spans="1:9" x14ac:dyDescent="0.3">
      <c r="A1451" t="s">
        <v>648</v>
      </c>
      <c r="B1451" t="s">
        <v>58</v>
      </c>
      <c r="C1451" t="s">
        <v>10</v>
      </c>
      <c r="D1451" t="s">
        <v>21</v>
      </c>
      <c r="E1451">
        <v>123</v>
      </c>
      <c r="F1451" s="6">
        <v>600</v>
      </c>
      <c r="G1451" s="6">
        <v>400</v>
      </c>
      <c r="H1451" s="6">
        <v>73800</v>
      </c>
      <c r="I1451" s="5">
        <f t="shared" si="22"/>
        <v>24600</v>
      </c>
    </row>
    <row r="1452" spans="1:9" x14ac:dyDescent="0.3">
      <c r="A1452" t="s">
        <v>429</v>
      </c>
      <c r="B1452" t="s">
        <v>23</v>
      </c>
      <c r="C1452" t="s">
        <v>26</v>
      </c>
      <c r="D1452" t="s">
        <v>11</v>
      </c>
      <c r="E1452">
        <v>76</v>
      </c>
      <c r="F1452" s="6">
        <v>3500</v>
      </c>
      <c r="G1452" s="6">
        <v>2500</v>
      </c>
      <c r="H1452" s="6">
        <v>266000</v>
      </c>
      <c r="I1452" s="5">
        <f t="shared" si="22"/>
        <v>76000</v>
      </c>
    </row>
    <row r="1453" spans="1:9" x14ac:dyDescent="0.3">
      <c r="A1453" t="s">
        <v>649</v>
      </c>
      <c r="B1453" t="s">
        <v>40</v>
      </c>
      <c r="C1453" t="s">
        <v>17</v>
      </c>
      <c r="D1453" t="s">
        <v>15</v>
      </c>
      <c r="E1453">
        <v>77</v>
      </c>
      <c r="F1453" s="6">
        <v>4000</v>
      </c>
      <c r="G1453" s="6">
        <v>3000</v>
      </c>
      <c r="H1453" s="6">
        <v>308000</v>
      </c>
      <c r="I1453" s="5">
        <f t="shared" si="22"/>
        <v>77000</v>
      </c>
    </row>
    <row r="1454" spans="1:9" x14ac:dyDescent="0.3">
      <c r="A1454" t="s">
        <v>516</v>
      </c>
      <c r="B1454" t="s">
        <v>36</v>
      </c>
      <c r="C1454" t="s">
        <v>10</v>
      </c>
      <c r="D1454" t="s">
        <v>15</v>
      </c>
      <c r="E1454">
        <v>121</v>
      </c>
      <c r="F1454" s="6">
        <v>4000</v>
      </c>
      <c r="G1454" s="6">
        <v>3000</v>
      </c>
      <c r="H1454" s="6">
        <v>484000</v>
      </c>
      <c r="I1454" s="5">
        <f t="shared" si="22"/>
        <v>121000</v>
      </c>
    </row>
    <row r="1455" spans="1:9" x14ac:dyDescent="0.3">
      <c r="A1455" t="s">
        <v>446</v>
      </c>
      <c r="B1455" t="s">
        <v>40</v>
      </c>
      <c r="C1455" t="s">
        <v>26</v>
      </c>
      <c r="D1455" t="s">
        <v>31</v>
      </c>
      <c r="E1455">
        <v>104</v>
      </c>
      <c r="F1455" s="6">
        <v>1000</v>
      </c>
      <c r="G1455" s="6">
        <v>700</v>
      </c>
      <c r="H1455" s="6">
        <v>104000</v>
      </c>
      <c r="I1455" s="5">
        <f t="shared" si="22"/>
        <v>31200</v>
      </c>
    </row>
    <row r="1456" spans="1:9" x14ac:dyDescent="0.3">
      <c r="A1456" t="s">
        <v>271</v>
      </c>
      <c r="B1456" t="s">
        <v>13</v>
      </c>
      <c r="C1456" t="s">
        <v>26</v>
      </c>
      <c r="D1456" t="s">
        <v>11</v>
      </c>
      <c r="E1456">
        <v>77</v>
      </c>
      <c r="F1456" s="6">
        <v>3500</v>
      </c>
      <c r="G1456" s="6">
        <v>2500</v>
      </c>
      <c r="H1456" s="6">
        <v>269500</v>
      </c>
      <c r="I1456" s="5">
        <f t="shared" si="22"/>
        <v>77000</v>
      </c>
    </row>
    <row r="1457" spans="1:9" x14ac:dyDescent="0.3">
      <c r="A1457" t="s">
        <v>227</v>
      </c>
      <c r="B1457" t="s">
        <v>30</v>
      </c>
      <c r="C1457" t="s">
        <v>26</v>
      </c>
      <c r="D1457" t="s">
        <v>15</v>
      </c>
      <c r="E1457">
        <v>71</v>
      </c>
      <c r="F1457" s="6">
        <v>4000</v>
      </c>
      <c r="G1457" s="6">
        <v>3000</v>
      </c>
      <c r="H1457" s="6">
        <v>284000</v>
      </c>
      <c r="I1457" s="5">
        <f t="shared" si="22"/>
        <v>71000</v>
      </c>
    </row>
    <row r="1458" spans="1:9" x14ac:dyDescent="0.3">
      <c r="A1458" t="s">
        <v>27</v>
      </c>
      <c r="B1458" t="s">
        <v>36</v>
      </c>
      <c r="C1458" t="s">
        <v>26</v>
      </c>
      <c r="D1458" t="s">
        <v>18</v>
      </c>
      <c r="E1458">
        <v>87</v>
      </c>
      <c r="F1458" s="6">
        <v>6000</v>
      </c>
      <c r="G1458" s="6">
        <v>4000</v>
      </c>
      <c r="H1458" s="6">
        <v>522000</v>
      </c>
      <c r="I1458" s="5">
        <f t="shared" si="22"/>
        <v>174000</v>
      </c>
    </row>
    <row r="1459" spans="1:9" x14ac:dyDescent="0.3">
      <c r="A1459" t="s">
        <v>362</v>
      </c>
      <c r="B1459" t="s">
        <v>13</v>
      </c>
      <c r="C1459" t="s">
        <v>26</v>
      </c>
      <c r="D1459" t="s">
        <v>31</v>
      </c>
      <c r="E1459">
        <v>104</v>
      </c>
      <c r="F1459" s="6">
        <v>1000</v>
      </c>
      <c r="G1459" s="6">
        <v>700</v>
      </c>
      <c r="H1459" s="6">
        <v>104000</v>
      </c>
      <c r="I1459" s="5">
        <f t="shared" si="22"/>
        <v>31200</v>
      </c>
    </row>
    <row r="1460" spans="1:9" x14ac:dyDescent="0.3">
      <c r="A1460" t="s">
        <v>647</v>
      </c>
      <c r="B1460" t="s">
        <v>40</v>
      </c>
      <c r="C1460" t="s">
        <v>14</v>
      </c>
      <c r="D1460" t="s">
        <v>15</v>
      </c>
      <c r="E1460">
        <v>73</v>
      </c>
      <c r="F1460" s="6">
        <v>4000</v>
      </c>
      <c r="G1460" s="6">
        <v>3000</v>
      </c>
      <c r="H1460" s="6">
        <v>292000</v>
      </c>
      <c r="I1460" s="5">
        <f t="shared" si="22"/>
        <v>73000</v>
      </c>
    </row>
    <row r="1461" spans="1:9" x14ac:dyDescent="0.3">
      <c r="A1461" t="s">
        <v>62</v>
      </c>
      <c r="B1461" t="s">
        <v>13</v>
      </c>
      <c r="C1461" t="s">
        <v>17</v>
      </c>
      <c r="D1461" t="s">
        <v>18</v>
      </c>
      <c r="E1461">
        <v>92</v>
      </c>
      <c r="F1461" s="6">
        <v>6000</v>
      </c>
      <c r="G1461" s="6">
        <v>4000</v>
      </c>
      <c r="H1461" s="6">
        <v>552000</v>
      </c>
      <c r="I1461" s="5">
        <f t="shared" si="22"/>
        <v>184000</v>
      </c>
    </row>
    <row r="1462" spans="1:9" x14ac:dyDescent="0.3">
      <c r="A1462" t="s">
        <v>326</v>
      </c>
      <c r="B1462" t="s">
        <v>30</v>
      </c>
      <c r="C1462" t="s">
        <v>14</v>
      </c>
      <c r="D1462" t="s">
        <v>34</v>
      </c>
      <c r="E1462">
        <v>132</v>
      </c>
      <c r="F1462" s="6">
        <v>10000</v>
      </c>
      <c r="G1462" s="6">
        <v>7000</v>
      </c>
      <c r="H1462" s="6">
        <v>1320000</v>
      </c>
      <c r="I1462" s="5">
        <f t="shared" si="22"/>
        <v>396000</v>
      </c>
    </row>
    <row r="1463" spans="1:9" x14ac:dyDescent="0.3">
      <c r="A1463" t="s">
        <v>550</v>
      </c>
      <c r="B1463" t="s">
        <v>40</v>
      </c>
      <c r="C1463" t="s">
        <v>14</v>
      </c>
      <c r="D1463" t="s">
        <v>15</v>
      </c>
      <c r="E1463">
        <v>125</v>
      </c>
      <c r="F1463" s="6">
        <v>4000</v>
      </c>
      <c r="G1463" s="6">
        <v>3000</v>
      </c>
      <c r="H1463" s="6">
        <v>500000</v>
      </c>
      <c r="I1463" s="5">
        <f t="shared" si="22"/>
        <v>125000</v>
      </c>
    </row>
    <row r="1464" spans="1:9" x14ac:dyDescent="0.3">
      <c r="A1464" t="s">
        <v>84</v>
      </c>
      <c r="B1464" t="s">
        <v>9</v>
      </c>
      <c r="C1464" t="s">
        <v>26</v>
      </c>
      <c r="D1464" t="s">
        <v>15</v>
      </c>
      <c r="E1464">
        <v>126</v>
      </c>
      <c r="F1464" s="6">
        <v>4000</v>
      </c>
      <c r="G1464" s="6">
        <v>3000</v>
      </c>
      <c r="H1464" s="6">
        <v>504000</v>
      </c>
      <c r="I1464" s="5">
        <f t="shared" si="22"/>
        <v>126000</v>
      </c>
    </row>
    <row r="1465" spans="1:9" x14ac:dyDescent="0.3">
      <c r="A1465" t="s">
        <v>600</v>
      </c>
      <c r="B1465" t="s">
        <v>23</v>
      </c>
      <c r="C1465" t="s">
        <v>26</v>
      </c>
      <c r="D1465" t="s">
        <v>15</v>
      </c>
      <c r="E1465">
        <v>137</v>
      </c>
      <c r="F1465" s="6">
        <v>4000</v>
      </c>
      <c r="G1465" s="6">
        <v>3000</v>
      </c>
      <c r="H1465" s="6">
        <v>548000</v>
      </c>
      <c r="I1465" s="5">
        <f t="shared" si="22"/>
        <v>137000</v>
      </c>
    </row>
    <row r="1466" spans="1:9" x14ac:dyDescent="0.3">
      <c r="A1466" t="s">
        <v>304</v>
      </c>
      <c r="B1466" t="s">
        <v>36</v>
      </c>
      <c r="C1466" t="s">
        <v>17</v>
      </c>
      <c r="D1466" t="s">
        <v>15</v>
      </c>
      <c r="E1466">
        <v>119</v>
      </c>
      <c r="F1466" s="6">
        <v>4000</v>
      </c>
      <c r="G1466" s="6">
        <v>3000</v>
      </c>
      <c r="H1466" s="6">
        <v>476000</v>
      </c>
      <c r="I1466" s="5">
        <f t="shared" si="22"/>
        <v>119000</v>
      </c>
    </row>
    <row r="1467" spans="1:9" x14ac:dyDescent="0.3">
      <c r="A1467" t="s">
        <v>209</v>
      </c>
      <c r="B1467" t="s">
        <v>58</v>
      </c>
      <c r="C1467" t="s">
        <v>26</v>
      </c>
      <c r="D1467" t="s">
        <v>34</v>
      </c>
      <c r="E1467">
        <v>102</v>
      </c>
      <c r="F1467" s="6">
        <v>10000</v>
      </c>
      <c r="G1467" s="6">
        <v>7000</v>
      </c>
      <c r="H1467" s="6">
        <v>1020000</v>
      </c>
      <c r="I1467" s="5">
        <f t="shared" si="22"/>
        <v>306000</v>
      </c>
    </row>
    <row r="1468" spans="1:9" x14ac:dyDescent="0.3">
      <c r="A1468" t="s">
        <v>135</v>
      </c>
      <c r="B1468" t="s">
        <v>30</v>
      </c>
      <c r="C1468" t="s">
        <v>10</v>
      </c>
      <c r="D1468" t="s">
        <v>11</v>
      </c>
      <c r="E1468">
        <v>106</v>
      </c>
      <c r="F1468" s="6">
        <v>3500</v>
      </c>
      <c r="G1468" s="6">
        <v>2500</v>
      </c>
      <c r="H1468" s="6">
        <v>371000</v>
      </c>
      <c r="I1468" s="5">
        <f t="shared" si="22"/>
        <v>106000</v>
      </c>
    </row>
    <row r="1469" spans="1:9" x14ac:dyDescent="0.3">
      <c r="A1469" t="s">
        <v>37</v>
      </c>
      <c r="B1469" t="s">
        <v>30</v>
      </c>
      <c r="C1469" t="s">
        <v>14</v>
      </c>
      <c r="D1469" t="s">
        <v>34</v>
      </c>
      <c r="E1469">
        <v>104</v>
      </c>
      <c r="F1469" s="6">
        <v>10000</v>
      </c>
      <c r="G1469" s="6">
        <v>7000</v>
      </c>
      <c r="H1469" s="6">
        <v>1040000</v>
      </c>
      <c r="I1469" s="5">
        <f t="shared" si="22"/>
        <v>312000</v>
      </c>
    </row>
    <row r="1470" spans="1:9" x14ac:dyDescent="0.3">
      <c r="A1470" t="s">
        <v>284</v>
      </c>
      <c r="B1470" t="s">
        <v>28</v>
      </c>
      <c r="C1470" t="s">
        <v>17</v>
      </c>
      <c r="D1470" t="s">
        <v>34</v>
      </c>
      <c r="E1470">
        <v>135</v>
      </c>
      <c r="F1470" s="6">
        <v>10000</v>
      </c>
      <c r="G1470" s="6">
        <v>7000</v>
      </c>
      <c r="H1470" s="6">
        <v>1350000</v>
      </c>
      <c r="I1470" s="5">
        <f t="shared" si="22"/>
        <v>405000</v>
      </c>
    </row>
    <row r="1471" spans="1:9" x14ac:dyDescent="0.3">
      <c r="A1471" t="s">
        <v>77</v>
      </c>
      <c r="B1471" t="s">
        <v>23</v>
      </c>
      <c r="C1471" t="s">
        <v>17</v>
      </c>
      <c r="D1471" t="s">
        <v>18</v>
      </c>
      <c r="E1471">
        <v>52</v>
      </c>
      <c r="F1471" s="6">
        <v>6000</v>
      </c>
      <c r="G1471" s="6">
        <v>4000</v>
      </c>
      <c r="H1471" s="6">
        <v>312000</v>
      </c>
      <c r="I1471" s="5">
        <f t="shared" si="22"/>
        <v>104000</v>
      </c>
    </row>
    <row r="1472" spans="1:9" x14ac:dyDescent="0.3">
      <c r="A1472" t="s">
        <v>342</v>
      </c>
      <c r="B1472" t="s">
        <v>36</v>
      </c>
      <c r="C1472" t="s">
        <v>26</v>
      </c>
      <c r="D1472" t="s">
        <v>18</v>
      </c>
      <c r="E1472">
        <v>68</v>
      </c>
      <c r="F1472" s="6">
        <v>6000</v>
      </c>
      <c r="G1472" s="6">
        <v>4000</v>
      </c>
      <c r="H1472" s="6">
        <v>408000</v>
      </c>
      <c r="I1472" s="5">
        <f t="shared" si="22"/>
        <v>136000</v>
      </c>
    </row>
    <row r="1473" spans="1:9" x14ac:dyDescent="0.3">
      <c r="A1473" t="s">
        <v>261</v>
      </c>
      <c r="B1473" t="s">
        <v>43</v>
      </c>
      <c r="C1473" t="s">
        <v>17</v>
      </c>
      <c r="D1473" t="s">
        <v>15</v>
      </c>
      <c r="E1473">
        <v>66</v>
      </c>
      <c r="F1473" s="6">
        <v>4000</v>
      </c>
      <c r="G1473" s="6">
        <v>3000</v>
      </c>
      <c r="H1473" s="6">
        <v>264000</v>
      </c>
      <c r="I1473" s="5">
        <f t="shared" si="22"/>
        <v>66000</v>
      </c>
    </row>
    <row r="1474" spans="1:9" x14ac:dyDescent="0.3">
      <c r="A1474" t="s">
        <v>100</v>
      </c>
      <c r="B1474" t="s">
        <v>30</v>
      </c>
      <c r="C1474" t="s">
        <v>17</v>
      </c>
      <c r="D1474" t="s">
        <v>31</v>
      </c>
      <c r="E1474">
        <v>150</v>
      </c>
      <c r="F1474" s="6">
        <v>1000</v>
      </c>
      <c r="G1474" s="6">
        <v>700</v>
      </c>
      <c r="H1474" s="6">
        <v>150000</v>
      </c>
      <c r="I1474" s="5">
        <f t="shared" ref="I1474:I1537" si="23">H1474-(G1474*E1474)</f>
        <v>45000</v>
      </c>
    </row>
    <row r="1475" spans="1:9" x14ac:dyDescent="0.3">
      <c r="A1475" t="s">
        <v>177</v>
      </c>
      <c r="B1475" t="s">
        <v>30</v>
      </c>
      <c r="C1475" t="s">
        <v>14</v>
      </c>
      <c r="D1475" t="s">
        <v>15</v>
      </c>
      <c r="E1475">
        <v>54</v>
      </c>
      <c r="F1475" s="6">
        <v>4000</v>
      </c>
      <c r="G1475" s="6">
        <v>3000</v>
      </c>
      <c r="H1475" s="6">
        <v>216000</v>
      </c>
      <c r="I1475" s="5">
        <f t="shared" si="23"/>
        <v>54000</v>
      </c>
    </row>
    <row r="1476" spans="1:9" x14ac:dyDescent="0.3">
      <c r="A1476" t="s">
        <v>101</v>
      </c>
      <c r="B1476" t="s">
        <v>40</v>
      </c>
      <c r="C1476" t="s">
        <v>14</v>
      </c>
      <c r="D1476" t="s">
        <v>24</v>
      </c>
      <c r="E1476">
        <v>138</v>
      </c>
      <c r="F1476" s="6">
        <v>1200</v>
      </c>
      <c r="G1476" s="6">
        <v>800</v>
      </c>
      <c r="H1476" s="6">
        <v>165600</v>
      </c>
      <c r="I1476" s="5">
        <f t="shared" si="23"/>
        <v>55200</v>
      </c>
    </row>
    <row r="1477" spans="1:9" x14ac:dyDescent="0.3">
      <c r="A1477" t="s">
        <v>650</v>
      </c>
      <c r="B1477" t="s">
        <v>13</v>
      </c>
      <c r="C1477" t="s">
        <v>14</v>
      </c>
      <c r="D1477" t="s">
        <v>21</v>
      </c>
      <c r="E1477">
        <v>50</v>
      </c>
      <c r="F1477" s="6">
        <v>600</v>
      </c>
      <c r="G1477" s="6">
        <v>400</v>
      </c>
      <c r="H1477" s="6">
        <v>30000</v>
      </c>
      <c r="I1477" s="5">
        <f t="shared" si="23"/>
        <v>10000</v>
      </c>
    </row>
    <row r="1478" spans="1:9" x14ac:dyDescent="0.3">
      <c r="A1478" t="s">
        <v>80</v>
      </c>
      <c r="B1478" t="s">
        <v>43</v>
      </c>
      <c r="C1478" t="s">
        <v>14</v>
      </c>
      <c r="D1478" t="s">
        <v>34</v>
      </c>
      <c r="E1478">
        <v>117</v>
      </c>
      <c r="F1478" s="6">
        <v>10000</v>
      </c>
      <c r="G1478" s="6">
        <v>7000</v>
      </c>
      <c r="H1478" s="6">
        <v>1170000</v>
      </c>
      <c r="I1478" s="5">
        <f t="shared" si="23"/>
        <v>351000</v>
      </c>
    </row>
    <row r="1479" spans="1:9" x14ac:dyDescent="0.3">
      <c r="A1479" t="s">
        <v>121</v>
      </c>
      <c r="B1479" t="s">
        <v>9</v>
      </c>
      <c r="C1479" t="s">
        <v>10</v>
      </c>
      <c r="D1479" t="s">
        <v>11</v>
      </c>
      <c r="E1479">
        <v>130</v>
      </c>
      <c r="F1479" s="6">
        <v>3500</v>
      </c>
      <c r="G1479" s="6">
        <v>2500</v>
      </c>
      <c r="H1479" s="6">
        <v>455000</v>
      </c>
      <c r="I1479" s="5">
        <f t="shared" si="23"/>
        <v>130000</v>
      </c>
    </row>
    <row r="1480" spans="1:9" x14ac:dyDescent="0.3">
      <c r="A1480" t="s">
        <v>358</v>
      </c>
      <c r="B1480" t="s">
        <v>23</v>
      </c>
      <c r="C1480" t="s">
        <v>14</v>
      </c>
      <c r="D1480" t="s">
        <v>24</v>
      </c>
      <c r="E1480">
        <v>125</v>
      </c>
      <c r="F1480" s="6">
        <v>1200</v>
      </c>
      <c r="G1480" s="6">
        <v>800</v>
      </c>
      <c r="H1480" s="6">
        <v>150000</v>
      </c>
      <c r="I1480" s="5">
        <f t="shared" si="23"/>
        <v>50000</v>
      </c>
    </row>
    <row r="1481" spans="1:9" x14ac:dyDescent="0.3">
      <c r="A1481" t="s">
        <v>240</v>
      </c>
      <c r="B1481" t="s">
        <v>43</v>
      </c>
      <c r="C1481" t="s">
        <v>14</v>
      </c>
      <c r="D1481" t="s">
        <v>24</v>
      </c>
      <c r="E1481">
        <v>121</v>
      </c>
      <c r="F1481" s="6">
        <v>1200</v>
      </c>
      <c r="G1481" s="6">
        <v>800</v>
      </c>
      <c r="H1481" s="6">
        <v>145200</v>
      </c>
      <c r="I1481" s="5">
        <f t="shared" si="23"/>
        <v>48400</v>
      </c>
    </row>
    <row r="1482" spans="1:9" x14ac:dyDescent="0.3">
      <c r="A1482" t="s">
        <v>528</v>
      </c>
      <c r="B1482" t="s">
        <v>40</v>
      </c>
      <c r="C1482" t="s">
        <v>14</v>
      </c>
      <c r="D1482" t="s">
        <v>11</v>
      </c>
      <c r="E1482">
        <v>55</v>
      </c>
      <c r="F1482" s="6">
        <v>3500</v>
      </c>
      <c r="G1482" s="6">
        <v>2500</v>
      </c>
      <c r="H1482" s="6">
        <v>192500</v>
      </c>
      <c r="I1482" s="5">
        <f t="shared" si="23"/>
        <v>55000</v>
      </c>
    </row>
    <row r="1483" spans="1:9" x14ac:dyDescent="0.3">
      <c r="A1483" t="s">
        <v>456</v>
      </c>
      <c r="B1483" t="s">
        <v>43</v>
      </c>
      <c r="C1483" t="s">
        <v>14</v>
      </c>
      <c r="D1483" t="s">
        <v>11</v>
      </c>
      <c r="E1483">
        <v>108</v>
      </c>
      <c r="F1483" s="6">
        <v>3500</v>
      </c>
      <c r="G1483" s="6">
        <v>2500</v>
      </c>
      <c r="H1483" s="6">
        <v>378000</v>
      </c>
      <c r="I1483" s="5">
        <f t="shared" si="23"/>
        <v>108000</v>
      </c>
    </row>
    <row r="1484" spans="1:9" x14ac:dyDescent="0.3">
      <c r="A1484" t="s">
        <v>651</v>
      </c>
      <c r="B1484" t="s">
        <v>9</v>
      </c>
      <c r="C1484" t="s">
        <v>10</v>
      </c>
      <c r="D1484" t="s">
        <v>24</v>
      </c>
      <c r="E1484">
        <v>78</v>
      </c>
      <c r="F1484" s="6">
        <v>1200</v>
      </c>
      <c r="G1484" s="6">
        <v>800</v>
      </c>
      <c r="H1484" s="6">
        <v>93600</v>
      </c>
      <c r="I1484" s="5">
        <f t="shared" si="23"/>
        <v>31200</v>
      </c>
    </row>
    <row r="1485" spans="1:9" x14ac:dyDescent="0.3">
      <c r="A1485" t="s">
        <v>374</v>
      </c>
      <c r="B1485" t="s">
        <v>36</v>
      </c>
      <c r="C1485" t="s">
        <v>17</v>
      </c>
      <c r="D1485" t="s">
        <v>18</v>
      </c>
      <c r="E1485">
        <v>110</v>
      </c>
      <c r="F1485" s="6">
        <v>6000</v>
      </c>
      <c r="G1485" s="6">
        <v>4000</v>
      </c>
      <c r="H1485" s="6">
        <v>660000</v>
      </c>
      <c r="I1485" s="5">
        <f t="shared" si="23"/>
        <v>220000</v>
      </c>
    </row>
    <row r="1486" spans="1:9" x14ac:dyDescent="0.3">
      <c r="A1486" t="s">
        <v>94</v>
      </c>
      <c r="B1486" t="s">
        <v>13</v>
      </c>
      <c r="C1486" t="s">
        <v>14</v>
      </c>
      <c r="D1486" t="s">
        <v>24</v>
      </c>
      <c r="E1486">
        <v>76</v>
      </c>
      <c r="F1486" s="6">
        <v>1200</v>
      </c>
      <c r="G1486" s="6">
        <v>800</v>
      </c>
      <c r="H1486" s="6">
        <v>91200</v>
      </c>
      <c r="I1486" s="5">
        <f t="shared" si="23"/>
        <v>30400</v>
      </c>
    </row>
    <row r="1487" spans="1:9" x14ac:dyDescent="0.3">
      <c r="A1487" t="s">
        <v>586</v>
      </c>
      <c r="B1487" t="s">
        <v>9</v>
      </c>
      <c r="C1487" t="s">
        <v>14</v>
      </c>
      <c r="D1487" t="s">
        <v>31</v>
      </c>
      <c r="E1487">
        <v>53</v>
      </c>
      <c r="F1487" s="6">
        <v>1000</v>
      </c>
      <c r="G1487" s="6">
        <v>700</v>
      </c>
      <c r="H1487" s="6">
        <v>53000</v>
      </c>
      <c r="I1487" s="5">
        <f t="shared" si="23"/>
        <v>15900</v>
      </c>
    </row>
    <row r="1488" spans="1:9" x14ac:dyDescent="0.3">
      <c r="A1488" t="s">
        <v>652</v>
      </c>
      <c r="B1488" t="s">
        <v>30</v>
      </c>
      <c r="C1488" t="s">
        <v>17</v>
      </c>
      <c r="D1488" t="s">
        <v>18</v>
      </c>
      <c r="E1488">
        <v>72</v>
      </c>
      <c r="F1488" s="6">
        <v>6000</v>
      </c>
      <c r="G1488" s="6">
        <v>4000</v>
      </c>
      <c r="H1488" s="6">
        <v>432000</v>
      </c>
      <c r="I1488" s="5">
        <f t="shared" si="23"/>
        <v>144000</v>
      </c>
    </row>
    <row r="1489" spans="1:9" x14ac:dyDescent="0.3">
      <c r="A1489" t="s">
        <v>575</v>
      </c>
      <c r="B1489" t="s">
        <v>30</v>
      </c>
      <c r="C1489" t="s">
        <v>17</v>
      </c>
      <c r="D1489" t="s">
        <v>11</v>
      </c>
      <c r="E1489">
        <v>148</v>
      </c>
      <c r="F1489" s="6">
        <v>3500</v>
      </c>
      <c r="G1489" s="6">
        <v>2500</v>
      </c>
      <c r="H1489" s="6">
        <v>518000</v>
      </c>
      <c r="I1489" s="5">
        <f t="shared" si="23"/>
        <v>148000</v>
      </c>
    </row>
    <row r="1490" spans="1:9" x14ac:dyDescent="0.3">
      <c r="A1490" t="s">
        <v>472</v>
      </c>
      <c r="B1490" t="s">
        <v>58</v>
      </c>
      <c r="C1490" t="s">
        <v>26</v>
      </c>
      <c r="D1490" t="s">
        <v>34</v>
      </c>
      <c r="E1490">
        <v>113</v>
      </c>
      <c r="F1490" s="6">
        <v>10000</v>
      </c>
      <c r="G1490" s="6">
        <v>7000</v>
      </c>
      <c r="H1490" s="6">
        <v>1130000</v>
      </c>
      <c r="I1490" s="5">
        <f t="shared" si="23"/>
        <v>339000</v>
      </c>
    </row>
    <row r="1491" spans="1:9" x14ac:dyDescent="0.3">
      <c r="A1491" t="s">
        <v>142</v>
      </c>
      <c r="B1491" t="s">
        <v>30</v>
      </c>
      <c r="C1491" t="s">
        <v>14</v>
      </c>
      <c r="D1491" t="s">
        <v>34</v>
      </c>
      <c r="E1491">
        <v>89</v>
      </c>
      <c r="F1491" s="6">
        <v>10000</v>
      </c>
      <c r="G1491" s="6">
        <v>7000</v>
      </c>
      <c r="H1491" s="6">
        <v>890000</v>
      </c>
      <c r="I1491" s="5">
        <f t="shared" si="23"/>
        <v>267000</v>
      </c>
    </row>
    <row r="1492" spans="1:9" x14ac:dyDescent="0.3">
      <c r="A1492" t="s">
        <v>172</v>
      </c>
      <c r="B1492" t="s">
        <v>9</v>
      </c>
      <c r="C1492" t="s">
        <v>17</v>
      </c>
      <c r="D1492" t="s">
        <v>18</v>
      </c>
      <c r="E1492">
        <v>87</v>
      </c>
      <c r="F1492" s="6">
        <v>6000</v>
      </c>
      <c r="G1492" s="6">
        <v>4000</v>
      </c>
      <c r="H1492" s="6">
        <v>522000</v>
      </c>
      <c r="I1492" s="5">
        <f t="shared" si="23"/>
        <v>174000</v>
      </c>
    </row>
    <row r="1493" spans="1:9" x14ac:dyDescent="0.3">
      <c r="A1493" t="s">
        <v>653</v>
      </c>
      <c r="B1493" t="s">
        <v>28</v>
      </c>
      <c r="C1493" t="s">
        <v>26</v>
      </c>
      <c r="D1493" t="s">
        <v>21</v>
      </c>
      <c r="E1493">
        <v>84</v>
      </c>
      <c r="F1493" s="6">
        <v>600</v>
      </c>
      <c r="G1493" s="6">
        <v>400</v>
      </c>
      <c r="H1493" s="6">
        <v>50400</v>
      </c>
      <c r="I1493" s="5">
        <f t="shared" si="23"/>
        <v>16800</v>
      </c>
    </row>
    <row r="1494" spans="1:9" x14ac:dyDescent="0.3">
      <c r="A1494" t="s">
        <v>502</v>
      </c>
      <c r="B1494" t="s">
        <v>28</v>
      </c>
      <c r="C1494" t="s">
        <v>26</v>
      </c>
      <c r="D1494" t="s">
        <v>34</v>
      </c>
      <c r="E1494">
        <v>146</v>
      </c>
      <c r="F1494" s="6">
        <v>10000</v>
      </c>
      <c r="G1494" s="6">
        <v>7000</v>
      </c>
      <c r="H1494" s="6">
        <v>1460000</v>
      </c>
      <c r="I1494" s="5">
        <f t="shared" si="23"/>
        <v>438000</v>
      </c>
    </row>
    <row r="1495" spans="1:9" x14ac:dyDescent="0.3">
      <c r="A1495" t="s">
        <v>654</v>
      </c>
      <c r="B1495" t="s">
        <v>43</v>
      </c>
      <c r="C1495" t="s">
        <v>14</v>
      </c>
      <c r="D1495" t="s">
        <v>31</v>
      </c>
      <c r="E1495">
        <v>98</v>
      </c>
      <c r="F1495" s="6">
        <v>1000</v>
      </c>
      <c r="G1495" s="6">
        <v>700</v>
      </c>
      <c r="H1495" s="6">
        <v>98000</v>
      </c>
      <c r="I1495" s="5">
        <f t="shared" si="23"/>
        <v>29400</v>
      </c>
    </row>
    <row r="1496" spans="1:9" x14ac:dyDescent="0.3">
      <c r="A1496" t="s">
        <v>68</v>
      </c>
      <c r="B1496" t="s">
        <v>36</v>
      </c>
      <c r="C1496" t="s">
        <v>14</v>
      </c>
      <c r="D1496" t="s">
        <v>21</v>
      </c>
      <c r="E1496">
        <v>133</v>
      </c>
      <c r="F1496" s="6">
        <v>600</v>
      </c>
      <c r="G1496" s="6">
        <v>400</v>
      </c>
      <c r="H1496" s="6">
        <v>79800</v>
      </c>
      <c r="I1496" s="5">
        <f t="shared" si="23"/>
        <v>26600</v>
      </c>
    </row>
    <row r="1497" spans="1:9" x14ac:dyDescent="0.3">
      <c r="A1497" t="s">
        <v>615</v>
      </c>
      <c r="B1497" t="s">
        <v>13</v>
      </c>
      <c r="C1497" t="s">
        <v>14</v>
      </c>
      <c r="D1497" t="s">
        <v>34</v>
      </c>
      <c r="E1497">
        <v>75</v>
      </c>
      <c r="F1497" s="6">
        <v>10000</v>
      </c>
      <c r="G1497" s="6">
        <v>7000</v>
      </c>
      <c r="H1497" s="6">
        <v>750000</v>
      </c>
      <c r="I1497" s="5">
        <f t="shared" si="23"/>
        <v>225000</v>
      </c>
    </row>
    <row r="1498" spans="1:9" x14ac:dyDescent="0.3">
      <c r="A1498" t="s">
        <v>299</v>
      </c>
      <c r="B1498" t="s">
        <v>40</v>
      </c>
      <c r="C1498" t="s">
        <v>26</v>
      </c>
      <c r="D1498" t="s">
        <v>31</v>
      </c>
      <c r="E1498">
        <v>129</v>
      </c>
      <c r="F1498" s="6">
        <v>1000</v>
      </c>
      <c r="G1498" s="6">
        <v>700</v>
      </c>
      <c r="H1498" s="6">
        <v>129000</v>
      </c>
      <c r="I1498" s="5">
        <f t="shared" si="23"/>
        <v>38700</v>
      </c>
    </row>
    <row r="1499" spans="1:9" x14ac:dyDescent="0.3">
      <c r="A1499" t="s">
        <v>622</v>
      </c>
      <c r="B1499" t="s">
        <v>36</v>
      </c>
      <c r="C1499" t="s">
        <v>10</v>
      </c>
      <c r="D1499" t="s">
        <v>24</v>
      </c>
      <c r="E1499">
        <v>148</v>
      </c>
      <c r="F1499" s="6">
        <v>1200</v>
      </c>
      <c r="G1499" s="6">
        <v>800</v>
      </c>
      <c r="H1499" s="6">
        <v>177600</v>
      </c>
      <c r="I1499" s="5">
        <f t="shared" si="23"/>
        <v>59200</v>
      </c>
    </row>
    <row r="1500" spans="1:9" x14ac:dyDescent="0.3">
      <c r="A1500" t="s">
        <v>376</v>
      </c>
      <c r="B1500" t="s">
        <v>20</v>
      </c>
      <c r="C1500" t="s">
        <v>26</v>
      </c>
      <c r="D1500" t="s">
        <v>15</v>
      </c>
      <c r="E1500">
        <v>76</v>
      </c>
      <c r="F1500" s="6">
        <v>4000</v>
      </c>
      <c r="G1500" s="6">
        <v>3000</v>
      </c>
      <c r="H1500" s="6">
        <v>304000</v>
      </c>
      <c r="I1500" s="5">
        <f t="shared" si="23"/>
        <v>76000</v>
      </c>
    </row>
    <row r="1501" spans="1:9" x14ac:dyDescent="0.3">
      <c r="A1501" t="s">
        <v>265</v>
      </c>
      <c r="B1501" t="s">
        <v>28</v>
      </c>
      <c r="C1501" t="s">
        <v>26</v>
      </c>
      <c r="D1501" t="s">
        <v>15</v>
      </c>
      <c r="E1501">
        <v>71</v>
      </c>
      <c r="F1501" s="6">
        <v>4000</v>
      </c>
      <c r="G1501" s="6">
        <v>3000</v>
      </c>
      <c r="H1501" s="6">
        <v>284000</v>
      </c>
      <c r="I1501" s="5">
        <f t="shared" si="23"/>
        <v>71000</v>
      </c>
    </row>
    <row r="1502" spans="1:9" x14ac:dyDescent="0.3">
      <c r="A1502" t="s">
        <v>175</v>
      </c>
      <c r="B1502" t="s">
        <v>9</v>
      </c>
      <c r="C1502" t="s">
        <v>14</v>
      </c>
      <c r="D1502" t="s">
        <v>31</v>
      </c>
      <c r="E1502">
        <v>133</v>
      </c>
      <c r="F1502" s="6">
        <v>1000</v>
      </c>
      <c r="G1502" s="6">
        <v>700</v>
      </c>
      <c r="H1502" s="6">
        <v>133000</v>
      </c>
      <c r="I1502" s="5">
        <f t="shared" si="23"/>
        <v>39900</v>
      </c>
    </row>
    <row r="1503" spans="1:9" x14ac:dyDescent="0.3">
      <c r="A1503" t="s">
        <v>655</v>
      </c>
      <c r="B1503" t="s">
        <v>13</v>
      </c>
      <c r="C1503" t="s">
        <v>10</v>
      </c>
      <c r="D1503" t="s">
        <v>34</v>
      </c>
      <c r="E1503">
        <v>53</v>
      </c>
      <c r="F1503" s="6">
        <v>10000</v>
      </c>
      <c r="G1503" s="6">
        <v>7000</v>
      </c>
      <c r="H1503" s="6">
        <v>530000</v>
      </c>
      <c r="I1503" s="5">
        <f t="shared" si="23"/>
        <v>159000</v>
      </c>
    </row>
    <row r="1504" spans="1:9" x14ac:dyDescent="0.3">
      <c r="A1504" t="s">
        <v>460</v>
      </c>
      <c r="B1504" t="s">
        <v>20</v>
      </c>
      <c r="C1504" t="s">
        <v>26</v>
      </c>
      <c r="D1504" t="s">
        <v>11</v>
      </c>
      <c r="E1504">
        <v>83</v>
      </c>
      <c r="F1504" s="6">
        <v>3500</v>
      </c>
      <c r="G1504" s="6">
        <v>2500</v>
      </c>
      <c r="H1504" s="6">
        <v>290500</v>
      </c>
      <c r="I1504" s="5">
        <f t="shared" si="23"/>
        <v>83000</v>
      </c>
    </row>
    <row r="1505" spans="1:9" x14ac:dyDescent="0.3">
      <c r="A1505" t="s">
        <v>494</v>
      </c>
      <c r="B1505" t="s">
        <v>23</v>
      </c>
      <c r="C1505" t="s">
        <v>14</v>
      </c>
      <c r="D1505" t="s">
        <v>18</v>
      </c>
      <c r="E1505">
        <v>140</v>
      </c>
      <c r="F1505" s="6">
        <v>6000</v>
      </c>
      <c r="G1505" s="6">
        <v>4000</v>
      </c>
      <c r="H1505" s="6">
        <v>840000</v>
      </c>
      <c r="I1505" s="5">
        <f t="shared" si="23"/>
        <v>280000</v>
      </c>
    </row>
    <row r="1506" spans="1:9" x14ac:dyDescent="0.3">
      <c r="A1506" t="s">
        <v>412</v>
      </c>
      <c r="B1506" t="s">
        <v>40</v>
      </c>
      <c r="C1506" t="s">
        <v>14</v>
      </c>
      <c r="D1506" t="s">
        <v>18</v>
      </c>
      <c r="E1506">
        <v>73</v>
      </c>
      <c r="F1506" s="6">
        <v>6000</v>
      </c>
      <c r="G1506" s="6">
        <v>4000</v>
      </c>
      <c r="H1506" s="6">
        <v>438000</v>
      </c>
      <c r="I1506" s="5">
        <f t="shared" si="23"/>
        <v>146000</v>
      </c>
    </row>
    <row r="1507" spans="1:9" x14ac:dyDescent="0.3">
      <c r="A1507" t="s">
        <v>656</v>
      </c>
      <c r="B1507" t="s">
        <v>36</v>
      </c>
      <c r="C1507" t="s">
        <v>17</v>
      </c>
      <c r="D1507" t="s">
        <v>11</v>
      </c>
      <c r="E1507">
        <v>73</v>
      </c>
      <c r="F1507" s="6">
        <v>3500</v>
      </c>
      <c r="G1507" s="6">
        <v>2500</v>
      </c>
      <c r="H1507" s="6">
        <v>255500</v>
      </c>
      <c r="I1507" s="5">
        <f t="shared" si="23"/>
        <v>73000</v>
      </c>
    </row>
    <row r="1508" spans="1:9" x14ac:dyDescent="0.3">
      <c r="A1508" t="s">
        <v>12</v>
      </c>
      <c r="B1508" t="s">
        <v>58</v>
      </c>
      <c r="C1508" t="s">
        <v>17</v>
      </c>
      <c r="D1508" t="s">
        <v>11</v>
      </c>
      <c r="E1508">
        <v>123</v>
      </c>
      <c r="F1508" s="6">
        <v>3500</v>
      </c>
      <c r="G1508" s="6">
        <v>2500</v>
      </c>
      <c r="H1508" s="6">
        <v>430500</v>
      </c>
      <c r="I1508" s="5">
        <f t="shared" si="23"/>
        <v>123000</v>
      </c>
    </row>
    <row r="1509" spans="1:9" x14ac:dyDescent="0.3">
      <c r="A1509" t="s">
        <v>89</v>
      </c>
      <c r="B1509" t="s">
        <v>30</v>
      </c>
      <c r="C1509" t="s">
        <v>17</v>
      </c>
      <c r="D1509" t="s">
        <v>31</v>
      </c>
      <c r="E1509">
        <v>98</v>
      </c>
      <c r="F1509" s="6">
        <v>1000</v>
      </c>
      <c r="G1509" s="6">
        <v>700</v>
      </c>
      <c r="H1509" s="6">
        <v>98000</v>
      </c>
      <c r="I1509" s="5">
        <f t="shared" si="23"/>
        <v>29400</v>
      </c>
    </row>
    <row r="1510" spans="1:9" x14ac:dyDescent="0.3">
      <c r="A1510" t="s">
        <v>404</v>
      </c>
      <c r="B1510" t="s">
        <v>58</v>
      </c>
      <c r="C1510" t="s">
        <v>10</v>
      </c>
      <c r="D1510" t="s">
        <v>11</v>
      </c>
      <c r="E1510">
        <v>107</v>
      </c>
      <c r="F1510" s="6">
        <v>3500</v>
      </c>
      <c r="G1510" s="6">
        <v>2500</v>
      </c>
      <c r="H1510" s="6">
        <v>374500</v>
      </c>
      <c r="I1510" s="5">
        <f t="shared" si="23"/>
        <v>107000</v>
      </c>
    </row>
    <row r="1511" spans="1:9" x14ac:dyDescent="0.3">
      <c r="A1511" t="s">
        <v>515</v>
      </c>
      <c r="B1511" t="s">
        <v>9</v>
      </c>
      <c r="C1511" t="s">
        <v>14</v>
      </c>
      <c r="D1511" t="s">
        <v>11</v>
      </c>
      <c r="E1511">
        <v>63</v>
      </c>
      <c r="F1511" s="6">
        <v>3500</v>
      </c>
      <c r="G1511" s="6">
        <v>2500</v>
      </c>
      <c r="H1511" s="6">
        <v>220500</v>
      </c>
      <c r="I1511" s="5">
        <f t="shared" si="23"/>
        <v>63000</v>
      </c>
    </row>
    <row r="1512" spans="1:9" x14ac:dyDescent="0.3">
      <c r="A1512" t="s">
        <v>530</v>
      </c>
      <c r="B1512" t="s">
        <v>20</v>
      </c>
      <c r="C1512" t="s">
        <v>14</v>
      </c>
      <c r="D1512" t="s">
        <v>18</v>
      </c>
      <c r="E1512">
        <v>77</v>
      </c>
      <c r="F1512" s="6">
        <v>6000</v>
      </c>
      <c r="G1512" s="6">
        <v>4000</v>
      </c>
      <c r="H1512" s="6">
        <v>462000</v>
      </c>
      <c r="I1512" s="5">
        <f t="shared" si="23"/>
        <v>154000</v>
      </c>
    </row>
    <row r="1513" spans="1:9" x14ac:dyDescent="0.3">
      <c r="A1513" t="s">
        <v>655</v>
      </c>
      <c r="B1513" t="s">
        <v>28</v>
      </c>
      <c r="C1513" t="s">
        <v>14</v>
      </c>
      <c r="D1513" t="s">
        <v>21</v>
      </c>
      <c r="E1513">
        <v>117</v>
      </c>
      <c r="F1513" s="6">
        <v>600</v>
      </c>
      <c r="G1513" s="6">
        <v>400</v>
      </c>
      <c r="H1513" s="6">
        <v>70200</v>
      </c>
      <c r="I1513" s="5">
        <f t="shared" si="23"/>
        <v>23400</v>
      </c>
    </row>
    <row r="1514" spans="1:9" x14ac:dyDescent="0.3">
      <c r="A1514" t="s">
        <v>472</v>
      </c>
      <c r="B1514" t="s">
        <v>58</v>
      </c>
      <c r="C1514" t="s">
        <v>14</v>
      </c>
      <c r="D1514" t="s">
        <v>18</v>
      </c>
      <c r="E1514">
        <v>138</v>
      </c>
      <c r="F1514" s="6">
        <v>6000</v>
      </c>
      <c r="G1514" s="6">
        <v>4000</v>
      </c>
      <c r="H1514" s="6">
        <v>828000</v>
      </c>
      <c r="I1514" s="5">
        <f t="shared" si="23"/>
        <v>276000</v>
      </c>
    </row>
    <row r="1515" spans="1:9" x14ac:dyDescent="0.3">
      <c r="A1515" t="s">
        <v>124</v>
      </c>
      <c r="B1515" t="s">
        <v>30</v>
      </c>
      <c r="C1515" t="s">
        <v>17</v>
      </c>
      <c r="D1515" t="s">
        <v>31</v>
      </c>
      <c r="E1515">
        <v>148</v>
      </c>
      <c r="F1515" s="6">
        <v>1000</v>
      </c>
      <c r="G1515" s="6">
        <v>700</v>
      </c>
      <c r="H1515" s="6">
        <v>148000</v>
      </c>
      <c r="I1515" s="5">
        <f t="shared" si="23"/>
        <v>44400</v>
      </c>
    </row>
    <row r="1516" spans="1:9" x14ac:dyDescent="0.3">
      <c r="A1516" t="s">
        <v>469</v>
      </c>
      <c r="B1516" t="s">
        <v>58</v>
      </c>
      <c r="C1516" t="s">
        <v>10</v>
      </c>
      <c r="D1516" t="s">
        <v>24</v>
      </c>
      <c r="E1516">
        <v>81</v>
      </c>
      <c r="F1516" s="6">
        <v>1200</v>
      </c>
      <c r="G1516" s="6">
        <v>800</v>
      </c>
      <c r="H1516" s="6">
        <v>97200</v>
      </c>
      <c r="I1516" s="5">
        <f t="shared" si="23"/>
        <v>32400</v>
      </c>
    </row>
    <row r="1517" spans="1:9" x14ac:dyDescent="0.3">
      <c r="A1517" t="s">
        <v>657</v>
      </c>
      <c r="B1517" t="s">
        <v>30</v>
      </c>
      <c r="C1517" t="s">
        <v>14</v>
      </c>
      <c r="D1517" t="s">
        <v>31</v>
      </c>
      <c r="E1517">
        <v>89</v>
      </c>
      <c r="F1517" s="6">
        <v>1000</v>
      </c>
      <c r="G1517" s="6">
        <v>700</v>
      </c>
      <c r="H1517" s="6">
        <v>89000</v>
      </c>
      <c r="I1517" s="5">
        <f t="shared" si="23"/>
        <v>26700</v>
      </c>
    </row>
    <row r="1518" spans="1:9" x14ac:dyDescent="0.3">
      <c r="A1518" t="s">
        <v>658</v>
      </c>
      <c r="B1518" t="s">
        <v>40</v>
      </c>
      <c r="C1518" t="s">
        <v>17</v>
      </c>
      <c r="D1518" t="s">
        <v>15</v>
      </c>
      <c r="E1518">
        <v>62</v>
      </c>
      <c r="F1518" s="6">
        <v>4000</v>
      </c>
      <c r="G1518" s="6">
        <v>3000</v>
      </c>
      <c r="H1518" s="6">
        <v>248000</v>
      </c>
      <c r="I1518" s="5">
        <f t="shared" si="23"/>
        <v>62000</v>
      </c>
    </row>
    <row r="1519" spans="1:9" x14ac:dyDescent="0.3">
      <c r="A1519" t="s">
        <v>609</v>
      </c>
      <c r="B1519" t="s">
        <v>13</v>
      </c>
      <c r="C1519" t="s">
        <v>17</v>
      </c>
      <c r="D1519" t="s">
        <v>11</v>
      </c>
      <c r="E1519">
        <v>99</v>
      </c>
      <c r="F1519" s="6">
        <v>3500</v>
      </c>
      <c r="G1519" s="6">
        <v>2500</v>
      </c>
      <c r="H1519" s="6">
        <v>346500</v>
      </c>
      <c r="I1519" s="5">
        <f t="shared" si="23"/>
        <v>99000</v>
      </c>
    </row>
    <row r="1520" spans="1:9" x14ac:dyDescent="0.3">
      <c r="A1520" t="s">
        <v>328</v>
      </c>
      <c r="B1520" t="s">
        <v>43</v>
      </c>
      <c r="C1520" t="s">
        <v>10</v>
      </c>
      <c r="D1520" t="s">
        <v>11</v>
      </c>
      <c r="E1520">
        <v>83</v>
      </c>
      <c r="F1520" s="6">
        <v>3500</v>
      </c>
      <c r="G1520" s="6">
        <v>2500</v>
      </c>
      <c r="H1520" s="6">
        <v>290500</v>
      </c>
      <c r="I1520" s="5">
        <f t="shared" si="23"/>
        <v>83000</v>
      </c>
    </row>
    <row r="1521" spans="1:9" x14ac:dyDescent="0.3">
      <c r="A1521" t="s">
        <v>356</v>
      </c>
      <c r="B1521" t="s">
        <v>43</v>
      </c>
      <c r="C1521" t="s">
        <v>17</v>
      </c>
      <c r="D1521" t="s">
        <v>21</v>
      </c>
      <c r="E1521">
        <v>90</v>
      </c>
      <c r="F1521" s="6">
        <v>600</v>
      </c>
      <c r="G1521" s="6">
        <v>400</v>
      </c>
      <c r="H1521" s="6">
        <v>54000</v>
      </c>
      <c r="I1521" s="5">
        <f t="shared" si="23"/>
        <v>18000</v>
      </c>
    </row>
    <row r="1522" spans="1:9" x14ac:dyDescent="0.3">
      <c r="A1522" t="s">
        <v>323</v>
      </c>
      <c r="B1522" t="s">
        <v>28</v>
      </c>
      <c r="C1522" t="s">
        <v>10</v>
      </c>
      <c r="D1522" t="s">
        <v>18</v>
      </c>
      <c r="E1522">
        <v>141</v>
      </c>
      <c r="F1522" s="6">
        <v>6000</v>
      </c>
      <c r="G1522" s="6">
        <v>4000</v>
      </c>
      <c r="H1522" s="6">
        <v>846000</v>
      </c>
      <c r="I1522" s="5">
        <f t="shared" si="23"/>
        <v>282000</v>
      </c>
    </row>
    <row r="1523" spans="1:9" x14ac:dyDescent="0.3">
      <c r="A1523" t="s">
        <v>41</v>
      </c>
      <c r="B1523" t="s">
        <v>28</v>
      </c>
      <c r="C1523" t="s">
        <v>17</v>
      </c>
      <c r="D1523" t="s">
        <v>15</v>
      </c>
      <c r="E1523">
        <v>92</v>
      </c>
      <c r="F1523" s="6">
        <v>4000</v>
      </c>
      <c r="G1523" s="6">
        <v>3000</v>
      </c>
      <c r="H1523" s="6">
        <v>368000</v>
      </c>
      <c r="I1523" s="5">
        <f t="shared" si="23"/>
        <v>92000</v>
      </c>
    </row>
    <row r="1524" spans="1:9" x14ac:dyDescent="0.3">
      <c r="A1524" t="s">
        <v>269</v>
      </c>
      <c r="B1524" t="s">
        <v>58</v>
      </c>
      <c r="C1524" t="s">
        <v>26</v>
      </c>
      <c r="D1524" t="s">
        <v>21</v>
      </c>
      <c r="E1524">
        <v>148</v>
      </c>
      <c r="F1524" s="6">
        <v>600</v>
      </c>
      <c r="G1524" s="6">
        <v>400</v>
      </c>
      <c r="H1524" s="6">
        <v>88800</v>
      </c>
      <c r="I1524" s="5">
        <f t="shared" si="23"/>
        <v>29600</v>
      </c>
    </row>
    <row r="1525" spans="1:9" x14ac:dyDescent="0.3">
      <c r="A1525" t="s">
        <v>385</v>
      </c>
      <c r="B1525" t="s">
        <v>43</v>
      </c>
      <c r="C1525" t="s">
        <v>14</v>
      </c>
      <c r="D1525" t="s">
        <v>34</v>
      </c>
      <c r="E1525">
        <v>145</v>
      </c>
      <c r="F1525" s="6">
        <v>10000</v>
      </c>
      <c r="G1525" s="6">
        <v>7000</v>
      </c>
      <c r="H1525" s="6">
        <v>1450000</v>
      </c>
      <c r="I1525" s="5">
        <f t="shared" si="23"/>
        <v>435000</v>
      </c>
    </row>
    <row r="1526" spans="1:9" x14ac:dyDescent="0.3">
      <c r="A1526" t="s">
        <v>269</v>
      </c>
      <c r="B1526" t="s">
        <v>30</v>
      </c>
      <c r="C1526" t="s">
        <v>26</v>
      </c>
      <c r="D1526" t="s">
        <v>31</v>
      </c>
      <c r="E1526">
        <v>78</v>
      </c>
      <c r="F1526" s="6">
        <v>1000</v>
      </c>
      <c r="G1526" s="6">
        <v>700</v>
      </c>
      <c r="H1526" s="6">
        <v>78000</v>
      </c>
      <c r="I1526" s="5">
        <f t="shared" si="23"/>
        <v>23400</v>
      </c>
    </row>
    <row r="1527" spans="1:9" x14ac:dyDescent="0.3">
      <c r="A1527" t="s">
        <v>154</v>
      </c>
      <c r="B1527" t="s">
        <v>28</v>
      </c>
      <c r="C1527" t="s">
        <v>10</v>
      </c>
      <c r="D1527" t="s">
        <v>11</v>
      </c>
      <c r="E1527">
        <v>107</v>
      </c>
      <c r="F1527" s="6">
        <v>3500</v>
      </c>
      <c r="G1527" s="6">
        <v>2500</v>
      </c>
      <c r="H1527" s="6">
        <v>374500</v>
      </c>
      <c r="I1527" s="5">
        <f t="shared" si="23"/>
        <v>107000</v>
      </c>
    </row>
    <row r="1528" spans="1:9" x14ac:dyDescent="0.3">
      <c r="A1528" t="s">
        <v>108</v>
      </c>
      <c r="B1528" t="s">
        <v>30</v>
      </c>
      <c r="C1528" t="s">
        <v>14</v>
      </c>
      <c r="D1528" t="s">
        <v>21</v>
      </c>
      <c r="E1528">
        <v>122</v>
      </c>
      <c r="F1528" s="6">
        <v>600</v>
      </c>
      <c r="G1528" s="6">
        <v>400</v>
      </c>
      <c r="H1528" s="6">
        <v>73200</v>
      </c>
      <c r="I1528" s="5">
        <f t="shared" si="23"/>
        <v>24400</v>
      </c>
    </row>
    <row r="1529" spans="1:9" x14ac:dyDescent="0.3">
      <c r="A1529" t="s">
        <v>330</v>
      </c>
      <c r="B1529" t="s">
        <v>30</v>
      </c>
      <c r="C1529" t="s">
        <v>14</v>
      </c>
      <c r="D1529" t="s">
        <v>11</v>
      </c>
      <c r="E1529">
        <v>77</v>
      </c>
      <c r="F1529" s="6">
        <v>3500</v>
      </c>
      <c r="G1529" s="6">
        <v>2500</v>
      </c>
      <c r="H1529" s="6">
        <v>269500</v>
      </c>
      <c r="I1529" s="5">
        <f t="shared" si="23"/>
        <v>77000</v>
      </c>
    </row>
    <row r="1530" spans="1:9" x14ac:dyDescent="0.3">
      <c r="A1530" t="s">
        <v>328</v>
      </c>
      <c r="B1530" t="s">
        <v>9</v>
      </c>
      <c r="C1530" t="s">
        <v>10</v>
      </c>
      <c r="D1530" t="s">
        <v>11</v>
      </c>
      <c r="E1530">
        <v>65</v>
      </c>
      <c r="F1530" s="6">
        <v>3500</v>
      </c>
      <c r="G1530" s="6">
        <v>2500</v>
      </c>
      <c r="H1530" s="6">
        <v>227500</v>
      </c>
      <c r="I1530" s="5">
        <f t="shared" si="23"/>
        <v>65000</v>
      </c>
    </row>
    <row r="1531" spans="1:9" x14ac:dyDescent="0.3">
      <c r="A1531" t="s">
        <v>483</v>
      </c>
      <c r="B1531" t="s">
        <v>36</v>
      </c>
      <c r="C1531" t="s">
        <v>14</v>
      </c>
      <c r="D1531" t="s">
        <v>18</v>
      </c>
      <c r="E1531">
        <v>113</v>
      </c>
      <c r="F1531" s="6">
        <v>6000</v>
      </c>
      <c r="G1531" s="6">
        <v>4000</v>
      </c>
      <c r="H1531" s="6">
        <v>678000</v>
      </c>
      <c r="I1531" s="5">
        <f t="shared" si="23"/>
        <v>226000</v>
      </c>
    </row>
    <row r="1532" spans="1:9" x14ac:dyDescent="0.3">
      <c r="A1532" t="s">
        <v>514</v>
      </c>
      <c r="B1532" t="s">
        <v>58</v>
      </c>
      <c r="C1532" t="s">
        <v>26</v>
      </c>
      <c r="D1532" t="s">
        <v>31</v>
      </c>
      <c r="E1532">
        <v>59</v>
      </c>
      <c r="F1532" s="6">
        <v>1000</v>
      </c>
      <c r="G1532" s="6">
        <v>700</v>
      </c>
      <c r="H1532" s="6">
        <v>59000</v>
      </c>
      <c r="I1532" s="5">
        <f t="shared" si="23"/>
        <v>17700</v>
      </c>
    </row>
    <row r="1533" spans="1:9" x14ac:dyDescent="0.3">
      <c r="A1533" t="s">
        <v>181</v>
      </c>
      <c r="B1533" t="s">
        <v>23</v>
      </c>
      <c r="C1533" t="s">
        <v>14</v>
      </c>
      <c r="D1533" t="s">
        <v>34</v>
      </c>
      <c r="E1533">
        <v>63</v>
      </c>
      <c r="F1533" s="6">
        <v>10000</v>
      </c>
      <c r="G1533" s="6">
        <v>7000</v>
      </c>
      <c r="H1533" s="6">
        <v>630000</v>
      </c>
      <c r="I1533" s="5">
        <f t="shared" si="23"/>
        <v>189000</v>
      </c>
    </row>
    <row r="1534" spans="1:9" x14ac:dyDescent="0.3">
      <c r="A1534" t="s">
        <v>659</v>
      </c>
      <c r="B1534" t="s">
        <v>30</v>
      </c>
      <c r="C1534" t="s">
        <v>17</v>
      </c>
      <c r="D1534" t="s">
        <v>24</v>
      </c>
      <c r="E1534">
        <v>147</v>
      </c>
      <c r="F1534" s="6">
        <v>1200</v>
      </c>
      <c r="G1534" s="6">
        <v>800</v>
      </c>
      <c r="H1534" s="6">
        <v>176400</v>
      </c>
      <c r="I1534" s="5">
        <f t="shared" si="23"/>
        <v>58800</v>
      </c>
    </row>
    <row r="1535" spans="1:9" x14ac:dyDescent="0.3">
      <c r="A1535" t="s">
        <v>393</v>
      </c>
      <c r="B1535" t="s">
        <v>43</v>
      </c>
      <c r="C1535" t="s">
        <v>14</v>
      </c>
      <c r="D1535" t="s">
        <v>11</v>
      </c>
      <c r="E1535">
        <v>51</v>
      </c>
      <c r="F1535" s="6">
        <v>3500</v>
      </c>
      <c r="G1535" s="6">
        <v>2500</v>
      </c>
      <c r="H1535" s="6">
        <v>178500</v>
      </c>
      <c r="I1535" s="5">
        <f t="shared" si="23"/>
        <v>51000</v>
      </c>
    </row>
    <row r="1536" spans="1:9" x14ac:dyDescent="0.3">
      <c r="A1536" t="s">
        <v>660</v>
      </c>
      <c r="B1536" t="s">
        <v>36</v>
      </c>
      <c r="C1536" t="s">
        <v>26</v>
      </c>
      <c r="D1536" t="s">
        <v>21</v>
      </c>
      <c r="E1536">
        <v>121</v>
      </c>
      <c r="F1536" s="6">
        <v>600</v>
      </c>
      <c r="G1536" s="6">
        <v>400</v>
      </c>
      <c r="H1536" s="6">
        <v>72600</v>
      </c>
      <c r="I1536" s="5">
        <f t="shared" si="23"/>
        <v>24200</v>
      </c>
    </row>
    <row r="1537" spans="1:9" x14ac:dyDescent="0.3">
      <c r="A1537" t="s">
        <v>661</v>
      </c>
      <c r="B1537" t="s">
        <v>28</v>
      </c>
      <c r="C1537" t="s">
        <v>17</v>
      </c>
      <c r="D1537" t="s">
        <v>21</v>
      </c>
      <c r="E1537">
        <v>114</v>
      </c>
      <c r="F1537" s="6">
        <v>600</v>
      </c>
      <c r="G1537" s="6">
        <v>400</v>
      </c>
      <c r="H1537" s="6">
        <v>68400</v>
      </c>
      <c r="I1537" s="5">
        <f t="shared" si="23"/>
        <v>22800</v>
      </c>
    </row>
    <row r="1538" spans="1:9" x14ac:dyDescent="0.3">
      <c r="A1538" t="s">
        <v>662</v>
      </c>
      <c r="B1538" t="s">
        <v>58</v>
      </c>
      <c r="C1538" t="s">
        <v>14</v>
      </c>
      <c r="D1538" t="s">
        <v>21</v>
      </c>
      <c r="E1538">
        <v>124</v>
      </c>
      <c r="F1538" s="6">
        <v>600</v>
      </c>
      <c r="G1538" s="6">
        <v>400</v>
      </c>
      <c r="H1538" s="6">
        <v>74400</v>
      </c>
      <c r="I1538" s="5">
        <f t="shared" ref="I1538:I1601" si="24">H1538-(G1538*E1538)</f>
        <v>24800</v>
      </c>
    </row>
    <row r="1539" spans="1:9" x14ac:dyDescent="0.3">
      <c r="A1539" t="s">
        <v>300</v>
      </c>
      <c r="B1539" t="s">
        <v>40</v>
      </c>
      <c r="C1539" t="s">
        <v>14</v>
      </c>
      <c r="D1539" t="s">
        <v>11</v>
      </c>
      <c r="E1539">
        <v>137</v>
      </c>
      <c r="F1539" s="6">
        <v>3500</v>
      </c>
      <c r="G1539" s="6">
        <v>2500</v>
      </c>
      <c r="H1539" s="6">
        <v>479500</v>
      </c>
      <c r="I1539" s="5">
        <f t="shared" si="24"/>
        <v>137000</v>
      </c>
    </row>
    <row r="1540" spans="1:9" x14ac:dyDescent="0.3">
      <c r="A1540" t="s">
        <v>513</v>
      </c>
      <c r="B1540" t="s">
        <v>9</v>
      </c>
      <c r="C1540" t="s">
        <v>10</v>
      </c>
      <c r="D1540" t="s">
        <v>18</v>
      </c>
      <c r="E1540">
        <v>147</v>
      </c>
      <c r="F1540" s="6">
        <v>6000</v>
      </c>
      <c r="G1540" s="6">
        <v>4000</v>
      </c>
      <c r="H1540" s="6">
        <v>882000</v>
      </c>
      <c r="I1540" s="5">
        <f t="shared" si="24"/>
        <v>294000</v>
      </c>
    </row>
    <row r="1541" spans="1:9" x14ac:dyDescent="0.3">
      <c r="A1541" t="s">
        <v>663</v>
      </c>
      <c r="B1541" t="s">
        <v>13</v>
      </c>
      <c r="C1541" t="s">
        <v>26</v>
      </c>
      <c r="D1541" t="s">
        <v>24</v>
      </c>
      <c r="E1541">
        <v>125</v>
      </c>
      <c r="F1541" s="6">
        <v>1200</v>
      </c>
      <c r="G1541" s="6">
        <v>800</v>
      </c>
      <c r="H1541" s="6">
        <v>150000</v>
      </c>
      <c r="I1541" s="5">
        <f t="shared" si="24"/>
        <v>50000</v>
      </c>
    </row>
    <row r="1542" spans="1:9" x14ac:dyDescent="0.3">
      <c r="A1542" t="s">
        <v>664</v>
      </c>
      <c r="B1542" t="s">
        <v>13</v>
      </c>
      <c r="C1542" t="s">
        <v>17</v>
      </c>
      <c r="D1542" t="s">
        <v>34</v>
      </c>
      <c r="E1542">
        <v>107</v>
      </c>
      <c r="F1542" s="6">
        <v>10000</v>
      </c>
      <c r="G1542" s="6">
        <v>7000</v>
      </c>
      <c r="H1542" s="6">
        <v>1070000</v>
      </c>
      <c r="I1542" s="5">
        <f t="shared" si="24"/>
        <v>321000</v>
      </c>
    </row>
    <row r="1543" spans="1:9" x14ac:dyDescent="0.3">
      <c r="A1543" t="s">
        <v>366</v>
      </c>
      <c r="B1543" t="s">
        <v>23</v>
      </c>
      <c r="C1543" t="s">
        <v>17</v>
      </c>
      <c r="D1543" t="s">
        <v>34</v>
      </c>
      <c r="E1543">
        <v>84</v>
      </c>
      <c r="F1543" s="6">
        <v>10000</v>
      </c>
      <c r="G1543" s="6">
        <v>7000</v>
      </c>
      <c r="H1543" s="6">
        <v>840000</v>
      </c>
      <c r="I1543" s="5">
        <f t="shared" si="24"/>
        <v>252000</v>
      </c>
    </row>
    <row r="1544" spans="1:9" x14ac:dyDescent="0.3">
      <c r="A1544" t="s">
        <v>138</v>
      </c>
      <c r="B1544" t="s">
        <v>9</v>
      </c>
      <c r="C1544" t="s">
        <v>17</v>
      </c>
      <c r="D1544" t="s">
        <v>15</v>
      </c>
      <c r="E1544">
        <v>141</v>
      </c>
      <c r="F1544" s="6">
        <v>4000</v>
      </c>
      <c r="G1544" s="6">
        <v>3000</v>
      </c>
      <c r="H1544" s="6">
        <v>564000</v>
      </c>
      <c r="I1544" s="5">
        <f t="shared" si="24"/>
        <v>141000</v>
      </c>
    </row>
    <row r="1545" spans="1:9" x14ac:dyDescent="0.3">
      <c r="A1545" t="s">
        <v>166</v>
      </c>
      <c r="B1545" t="s">
        <v>28</v>
      </c>
      <c r="C1545" t="s">
        <v>14</v>
      </c>
      <c r="D1545" t="s">
        <v>21</v>
      </c>
      <c r="E1545">
        <v>91</v>
      </c>
      <c r="F1545" s="6">
        <v>600</v>
      </c>
      <c r="G1545" s="6">
        <v>400</v>
      </c>
      <c r="H1545" s="6">
        <v>54600</v>
      </c>
      <c r="I1545" s="5">
        <f t="shared" si="24"/>
        <v>18200</v>
      </c>
    </row>
    <row r="1546" spans="1:9" x14ac:dyDescent="0.3">
      <c r="A1546" t="s">
        <v>546</v>
      </c>
      <c r="B1546" t="s">
        <v>9</v>
      </c>
      <c r="C1546" t="s">
        <v>17</v>
      </c>
      <c r="D1546" t="s">
        <v>18</v>
      </c>
      <c r="E1546">
        <v>94</v>
      </c>
      <c r="F1546" s="6">
        <v>6000</v>
      </c>
      <c r="G1546" s="6">
        <v>4000</v>
      </c>
      <c r="H1546" s="6">
        <v>564000</v>
      </c>
      <c r="I1546" s="5">
        <f t="shared" si="24"/>
        <v>188000</v>
      </c>
    </row>
    <row r="1547" spans="1:9" x14ac:dyDescent="0.3">
      <c r="A1547" t="s">
        <v>291</v>
      </c>
      <c r="B1547" t="s">
        <v>28</v>
      </c>
      <c r="C1547" t="s">
        <v>17</v>
      </c>
      <c r="D1547" t="s">
        <v>34</v>
      </c>
      <c r="E1547">
        <v>109</v>
      </c>
      <c r="F1547" s="6">
        <v>10000</v>
      </c>
      <c r="G1547" s="6">
        <v>7000</v>
      </c>
      <c r="H1547" s="6">
        <v>1090000</v>
      </c>
      <c r="I1547" s="5">
        <f t="shared" si="24"/>
        <v>327000</v>
      </c>
    </row>
    <row r="1548" spans="1:9" x14ac:dyDescent="0.3">
      <c r="A1548" t="s">
        <v>354</v>
      </c>
      <c r="B1548" t="s">
        <v>36</v>
      </c>
      <c r="C1548" t="s">
        <v>17</v>
      </c>
      <c r="D1548" t="s">
        <v>21</v>
      </c>
      <c r="E1548">
        <v>143</v>
      </c>
      <c r="F1548" s="6">
        <v>600</v>
      </c>
      <c r="G1548" s="6">
        <v>400</v>
      </c>
      <c r="H1548" s="6">
        <v>85800</v>
      </c>
      <c r="I1548" s="5">
        <f t="shared" si="24"/>
        <v>28600</v>
      </c>
    </row>
    <row r="1549" spans="1:9" x14ac:dyDescent="0.3">
      <c r="A1549" t="s">
        <v>665</v>
      </c>
      <c r="B1549" t="s">
        <v>23</v>
      </c>
      <c r="C1549" t="s">
        <v>14</v>
      </c>
      <c r="D1549" t="s">
        <v>21</v>
      </c>
      <c r="E1549">
        <v>66</v>
      </c>
      <c r="F1549" s="6">
        <v>600</v>
      </c>
      <c r="G1549" s="6">
        <v>400</v>
      </c>
      <c r="H1549" s="6">
        <v>39600</v>
      </c>
      <c r="I1549" s="5">
        <f t="shared" si="24"/>
        <v>13200</v>
      </c>
    </row>
    <row r="1550" spans="1:9" x14ac:dyDescent="0.3">
      <c r="A1550" t="s">
        <v>666</v>
      </c>
      <c r="B1550" t="s">
        <v>28</v>
      </c>
      <c r="C1550" t="s">
        <v>14</v>
      </c>
      <c r="D1550" t="s">
        <v>21</v>
      </c>
      <c r="E1550">
        <v>113</v>
      </c>
      <c r="F1550" s="6">
        <v>600</v>
      </c>
      <c r="G1550" s="6">
        <v>400</v>
      </c>
      <c r="H1550" s="6">
        <v>67800</v>
      </c>
      <c r="I1550" s="5">
        <f t="shared" si="24"/>
        <v>22600</v>
      </c>
    </row>
    <row r="1551" spans="1:9" x14ac:dyDescent="0.3">
      <c r="A1551" t="s">
        <v>280</v>
      </c>
      <c r="B1551" t="s">
        <v>13</v>
      </c>
      <c r="C1551" t="s">
        <v>10</v>
      </c>
      <c r="D1551" t="s">
        <v>11</v>
      </c>
      <c r="E1551">
        <v>63</v>
      </c>
      <c r="F1551" s="6">
        <v>3500</v>
      </c>
      <c r="G1551" s="6">
        <v>2500</v>
      </c>
      <c r="H1551" s="6">
        <v>220500</v>
      </c>
      <c r="I1551" s="5">
        <f t="shared" si="24"/>
        <v>63000</v>
      </c>
    </row>
    <row r="1552" spans="1:9" x14ac:dyDescent="0.3">
      <c r="A1552" t="s">
        <v>667</v>
      </c>
      <c r="B1552" t="s">
        <v>20</v>
      </c>
      <c r="C1552" t="s">
        <v>14</v>
      </c>
      <c r="D1552" t="s">
        <v>34</v>
      </c>
      <c r="E1552">
        <v>53</v>
      </c>
      <c r="F1552" s="6">
        <v>10000</v>
      </c>
      <c r="G1552" s="6">
        <v>7000</v>
      </c>
      <c r="H1552" s="6">
        <v>530000</v>
      </c>
      <c r="I1552" s="5">
        <f t="shared" si="24"/>
        <v>159000</v>
      </c>
    </row>
    <row r="1553" spans="1:9" x14ac:dyDescent="0.3">
      <c r="A1553" t="s">
        <v>561</v>
      </c>
      <c r="B1553" t="s">
        <v>40</v>
      </c>
      <c r="C1553" t="s">
        <v>17</v>
      </c>
      <c r="D1553" t="s">
        <v>18</v>
      </c>
      <c r="E1553">
        <v>147</v>
      </c>
      <c r="F1553" s="6">
        <v>6000</v>
      </c>
      <c r="G1553" s="6">
        <v>4000</v>
      </c>
      <c r="H1553" s="6">
        <v>882000</v>
      </c>
      <c r="I1553" s="5">
        <f t="shared" si="24"/>
        <v>294000</v>
      </c>
    </row>
    <row r="1554" spans="1:9" x14ac:dyDescent="0.3">
      <c r="A1554" t="s">
        <v>118</v>
      </c>
      <c r="B1554" t="s">
        <v>28</v>
      </c>
      <c r="C1554" t="s">
        <v>26</v>
      </c>
      <c r="D1554" t="s">
        <v>18</v>
      </c>
      <c r="E1554">
        <v>126</v>
      </c>
      <c r="F1554" s="6">
        <v>6000</v>
      </c>
      <c r="G1554" s="6">
        <v>4000</v>
      </c>
      <c r="H1554" s="6">
        <v>756000</v>
      </c>
      <c r="I1554" s="5">
        <f t="shared" si="24"/>
        <v>252000</v>
      </c>
    </row>
    <row r="1555" spans="1:9" x14ac:dyDescent="0.3">
      <c r="A1555" t="s">
        <v>668</v>
      </c>
      <c r="B1555" t="s">
        <v>13</v>
      </c>
      <c r="C1555" t="s">
        <v>10</v>
      </c>
      <c r="D1555" t="s">
        <v>31</v>
      </c>
      <c r="E1555">
        <v>129</v>
      </c>
      <c r="F1555" s="6">
        <v>1000</v>
      </c>
      <c r="G1555" s="6">
        <v>700</v>
      </c>
      <c r="H1555" s="6">
        <v>129000</v>
      </c>
      <c r="I1555" s="5">
        <f t="shared" si="24"/>
        <v>38700</v>
      </c>
    </row>
    <row r="1556" spans="1:9" x14ac:dyDescent="0.3">
      <c r="A1556" t="s">
        <v>633</v>
      </c>
      <c r="B1556" t="s">
        <v>20</v>
      </c>
      <c r="C1556" t="s">
        <v>10</v>
      </c>
      <c r="D1556" t="s">
        <v>21</v>
      </c>
      <c r="E1556">
        <v>129</v>
      </c>
      <c r="F1556" s="6">
        <v>600</v>
      </c>
      <c r="G1556" s="6">
        <v>400</v>
      </c>
      <c r="H1556" s="6">
        <v>77400</v>
      </c>
      <c r="I1556" s="5">
        <f t="shared" si="24"/>
        <v>25800</v>
      </c>
    </row>
    <row r="1557" spans="1:9" x14ac:dyDescent="0.3">
      <c r="A1557" t="s">
        <v>45</v>
      </c>
      <c r="B1557" t="s">
        <v>23</v>
      </c>
      <c r="C1557" t="s">
        <v>10</v>
      </c>
      <c r="D1557" t="s">
        <v>18</v>
      </c>
      <c r="E1557">
        <v>74</v>
      </c>
      <c r="F1557" s="6">
        <v>6000</v>
      </c>
      <c r="G1557" s="6">
        <v>4000</v>
      </c>
      <c r="H1557" s="6">
        <v>444000</v>
      </c>
      <c r="I1557" s="5">
        <f t="shared" si="24"/>
        <v>148000</v>
      </c>
    </row>
    <row r="1558" spans="1:9" x14ac:dyDescent="0.3">
      <c r="A1558" t="s">
        <v>527</v>
      </c>
      <c r="B1558" t="s">
        <v>58</v>
      </c>
      <c r="C1558" t="s">
        <v>26</v>
      </c>
      <c r="D1558" t="s">
        <v>11</v>
      </c>
      <c r="E1558">
        <v>67</v>
      </c>
      <c r="F1558" s="6">
        <v>3500</v>
      </c>
      <c r="G1558" s="6">
        <v>2500</v>
      </c>
      <c r="H1558" s="6">
        <v>234500</v>
      </c>
      <c r="I1558" s="5">
        <f t="shared" si="24"/>
        <v>67000</v>
      </c>
    </row>
    <row r="1559" spans="1:9" x14ac:dyDescent="0.3">
      <c r="A1559" t="s">
        <v>669</v>
      </c>
      <c r="B1559" t="s">
        <v>20</v>
      </c>
      <c r="C1559" t="s">
        <v>17</v>
      </c>
      <c r="D1559" t="s">
        <v>15</v>
      </c>
      <c r="E1559">
        <v>86</v>
      </c>
      <c r="F1559" s="6">
        <v>4000</v>
      </c>
      <c r="G1559" s="6">
        <v>3000</v>
      </c>
      <c r="H1559" s="6">
        <v>344000</v>
      </c>
      <c r="I1559" s="5">
        <f t="shared" si="24"/>
        <v>86000</v>
      </c>
    </row>
    <row r="1560" spans="1:9" x14ac:dyDescent="0.3">
      <c r="A1560" t="s">
        <v>384</v>
      </c>
      <c r="B1560" t="s">
        <v>28</v>
      </c>
      <c r="C1560" t="s">
        <v>10</v>
      </c>
      <c r="D1560" t="s">
        <v>31</v>
      </c>
      <c r="E1560">
        <v>127</v>
      </c>
      <c r="F1560" s="6">
        <v>1000</v>
      </c>
      <c r="G1560" s="6">
        <v>700</v>
      </c>
      <c r="H1560" s="6">
        <v>127000</v>
      </c>
      <c r="I1560" s="5">
        <f t="shared" si="24"/>
        <v>38100</v>
      </c>
    </row>
    <row r="1561" spans="1:9" x14ac:dyDescent="0.3">
      <c r="A1561" t="s">
        <v>96</v>
      </c>
      <c r="B1561" t="s">
        <v>58</v>
      </c>
      <c r="C1561" t="s">
        <v>17</v>
      </c>
      <c r="D1561" t="s">
        <v>18</v>
      </c>
      <c r="E1561">
        <v>74</v>
      </c>
      <c r="F1561" s="6">
        <v>6000</v>
      </c>
      <c r="G1561" s="6">
        <v>4000</v>
      </c>
      <c r="H1561" s="6">
        <v>444000</v>
      </c>
      <c r="I1561" s="5">
        <f t="shared" si="24"/>
        <v>148000</v>
      </c>
    </row>
    <row r="1562" spans="1:9" x14ac:dyDescent="0.3">
      <c r="A1562" t="s">
        <v>165</v>
      </c>
      <c r="B1562" t="s">
        <v>28</v>
      </c>
      <c r="C1562" t="s">
        <v>17</v>
      </c>
      <c r="D1562" t="s">
        <v>18</v>
      </c>
      <c r="E1562">
        <v>56</v>
      </c>
      <c r="F1562" s="6">
        <v>6000</v>
      </c>
      <c r="G1562" s="6">
        <v>4000</v>
      </c>
      <c r="H1562" s="6">
        <v>336000</v>
      </c>
      <c r="I1562" s="5">
        <f t="shared" si="24"/>
        <v>112000</v>
      </c>
    </row>
    <row r="1563" spans="1:9" x14ac:dyDescent="0.3">
      <c r="A1563" t="s">
        <v>79</v>
      </c>
      <c r="B1563" t="s">
        <v>30</v>
      </c>
      <c r="C1563" t="s">
        <v>10</v>
      </c>
      <c r="D1563" t="s">
        <v>34</v>
      </c>
      <c r="E1563">
        <v>59</v>
      </c>
      <c r="F1563" s="6">
        <v>10000</v>
      </c>
      <c r="G1563" s="6">
        <v>7000</v>
      </c>
      <c r="H1563" s="6">
        <v>590000</v>
      </c>
      <c r="I1563" s="5">
        <f t="shared" si="24"/>
        <v>177000</v>
      </c>
    </row>
    <row r="1564" spans="1:9" x14ac:dyDescent="0.3">
      <c r="A1564" t="s">
        <v>577</v>
      </c>
      <c r="B1564" t="s">
        <v>58</v>
      </c>
      <c r="C1564" t="s">
        <v>14</v>
      </c>
      <c r="D1564" t="s">
        <v>11</v>
      </c>
      <c r="E1564">
        <v>148</v>
      </c>
      <c r="F1564" s="6">
        <v>3500</v>
      </c>
      <c r="G1564" s="6">
        <v>2500</v>
      </c>
      <c r="H1564" s="6">
        <v>518000</v>
      </c>
      <c r="I1564" s="5">
        <f t="shared" si="24"/>
        <v>148000</v>
      </c>
    </row>
    <row r="1565" spans="1:9" x14ac:dyDescent="0.3">
      <c r="A1565" t="s">
        <v>570</v>
      </c>
      <c r="B1565" t="s">
        <v>13</v>
      </c>
      <c r="C1565" t="s">
        <v>17</v>
      </c>
      <c r="D1565" t="s">
        <v>24</v>
      </c>
      <c r="E1565">
        <v>71</v>
      </c>
      <c r="F1565" s="6">
        <v>1200</v>
      </c>
      <c r="G1565" s="6">
        <v>800</v>
      </c>
      <c r="H1565" s="6">
        <v>85200</v>
      </c>
      <c r="I1565" s="5">
        <f t="shared" si="24"/>
        <v>28400</v>
      </c>
    </row>
    <row r="1566" spans="1:9" x14ac:dyDescent="0.3">
      <c r="A1566" t="s">
        <v>431</v>
      </c>
      <c r="B1566" t="s">
        <v>30</v>
      </c>
      <c r="C1566" t="s">
        <v>10</v>
      </c>
      <c r="D1566" t="s">
        <v>31</v>
      </c>
      <c r="E1566">
        <v>138</v>
      </c>
      <c r="F1566" s="6">
        <v>1000</v>
      </c>
      <c r="G1566" s="6">
        <v>700</v>
      </c>
      <c r="H1566" s="6">
        <v>138000</v>
      </c>
      <c r="I1566" s="5">
        <f t="shared" si="24"/>
        <v>41400</v>
      </c>
    </row>
    <row r="1567" spans="1:9" x14ac:dyDescent="0.3">
      <c r="A1567" t="s">
        <v>416</v>
      </c>
      <c r="B1567" t="s">
        <v>30</v>
      </c>
      <c r="C1567" t="s">
        <v>10</v>
      </c>
      <c r="D1567" t="s">
        <v>21</v>
      </c>
      <c r="E1567">
        <v>99</v>
      </c>
      <c r="F1567" s="6">
        <v>600</v>
      </c>
      <c r="G1567" s="6">
        <v>400</v>
      </c>
      <c r="H1567" s="6">
        <v>59400</v>
      </c>
      <c r="I1567" s="5">
        <f t="shared" si="24"/>
        <v>19800</v>
      </c>
    </row>
    <row r="1568" spans="1:9" x14ac:dyDescent="0.3">
      <c r="A1568" t="s">
        <v>195</v>
      </c>
      <c r="B1568" t="s">
        <v>40</v>
      </c>
      <c r="C1568" t="s">
        <v>14</v>
      </c>
      <c r="D1568" t="s">
        <v>18</v>
      </c>
      <c r="E1568">
        <v>107</v>
      </c>
      <c r="F1568" s="6">
        <v>6000</v>
      </c>
      <c r="G1568" s="6">
        <v>4000</v>
      </c>
      <c r="H1568" s="6">
        <v>642000</v>
      </c>
      <c r="I1568" s="5">
        <f t="shared" si="24"/>
        <v>214000</v>
      </c>
    </row>
    <row r="1569" spans="1:9" x14ac:dyDescent="0.3">
      <c r="A1569" t="s">
        <v>550</v>
      </c>
      <c r="B1569" t="s">
        <v>40</v>
      </c>
      <c r="C1569" t="s">
        <v>10</v>
      </c>
      <c r="D1569" t="s">
        <v>11</v>
      </c>
      <c r="E1569">
        <v>113</v>
      </c>
      <c r="F1569" s="6">
        <v>3500</v>
      </c>
      <c r="G1569" s="6">
        <v>2500</v>
      </c>
      <c r="H1569" s="6">
        <v>395500</v>
      </c>
      <c r="I1569" s="5">
        <f t="shared" si="24"/>
        <v>113000</v>
      </c>
    </row>
    <row r="1570" spans="1:9" x14ac:dyDescent="0.3">
      <c r="A1570" t="s">
        <v>68</v>
      </c>
      <c r="B1570" t="s">
        <v>28</v>
      </c>
      <c r="C1570" t="s">
        <v>26</v>
      </c>
      <c r="D1570" t="s">
        <v>11</v>
      </c>
      <c r="E1570">
        <v>147</v>
      </c>
      <c r="F1570" s="6">
        <v>3500</v>
      </c>
      <c r="G1570" s="6">
        <v>2500</v>
      </c>
      <c r="H1570" s="6">
        <v>514500</v>
      </c>
      <c r="I1570" s="5">
        <f t="shared" si="24"/>
        <v>147000</v>
      </c>
    </row>
    <row r="1571" spans="1:9" x14ac:dyDescent="0.3">
      <c r="A1571" t="s">
        <v>61</v>
      </c>
      <c r="B1571" t="s">
        <v>20</v>
      </c>
      <c r="C1571" t="s">
        <v>14</v>
      </c>
      <c r="D1571" t="s">
        <v>18</v>
      </c>
      <c r="E1571">
        <v>54</v>
      </c>
      <c r="F1571" s="6">
        <v>6000</v>
      </c>
      <c r="G1571" s="6">
        <v>4000</v>
      </c>
      <c r="H1571" s="6">
        <v>324000</v>
      </c>
      <c r="I1571" s="5">
        <f t="shared" si="24"/>
        <v>108000</v>
      </c>
    </row>
    <row r="1572" spans="1:9" x14ac:dyDescent="0.3">
      <c r="A1572" t="s">
        <v>358</v>
      </c>
      <c r="B1572" t="s">
        <v>58</v>
      </c>
      <c r="C1572" t="s">
        <v>10</v>
      </c>
      <c r="D1572" t="s">
        <v>21</v>
      </c>
      <c r="E1572">
        <v>97</v>
      </c>
      <c r="F1572" s="6">
        <v>600</v>
      </c>
      <c r="G1572" s="6">
        <v>400</v>
      </c>
      <c r="H1572" s="6">
        <v>58200</v>
      </c>
      <c r="I1572" s="5">
        <f t="shared" si="24"/>
        <v>19400</v>
      </c>
    </row>
    <row r="1573" spans="1:9" x14ac:dyDescent="0.3">
      <c r="A1573" t="s">
        <v>132</v>
      </c>
      <c r="B1573" t="s">
        <v>40</v>
      </c>
      <c r="C1573" t="s">
        <v>26</v>
      </c>
      <c r="D1573" t="s">
        <v>31</v>
      </c>
      <c r="E1573">
        <v>56</v>
      </c>
      <c r="F1573" s="6">
        <v>1000</v>
      </c>
      <c r="G1573" s="6">
        <v>700</v>
      </c>
      <c r="H1573" s="6">
        <v>56000</v>
      </c>
      <c r="I1573" s="5">
        <f t="shared" si="24"/>
        <v>16800</v>
      </c>
    </row>
    <row r="1574" spans="1:9" x14ac:dyDescent="0.3">
      <c r="A1574" t="s">
        <v>143</v>
      </c>
      <c r="B1574" t="s">
        <v>43</v>
      </c>
      <c r="C1574" t="s">
        <v>14</v>
      </c>
      <c r="D1574" t="s">
        <v>15</v>
      </c>
      <c r="E1574">
        <v>101</v>
      </c>
      <c r="F1574" s="6">
        <v>4000</v>
      </c>
      <c r="G1574" s="6">
        <v>3000</v>
      </c>
      <c r="H1574" s="6">
        <v>404000</v>
      </c>
      <c r="I1574" s="5">
        <f t="shared" si="24"/>
        <v>101000</v>
      </c>
    </row>
    <row r="1575" spans="1:9" x14ac:dyDescent="0.3">
      <c r="A1575" t="s">
        <v>246</v>
      </c>
      <c r="B1575" t="s">
        <v>40</v>
      </c>
      <c r="C1575" t="s">
        <v>14</v>
      </c>
      <c r="D1575" t="s">
        <v>15</v>
      </c>
      <c r="E1575">
        <v>103</v>
      </c>
      <c r="F1575" s="6">
        <v>4000</v>
      </c>
      <c r="G1575" s="6">
        <v>3000</v>
      </c>
      <c r="H1575" s="6">
        <v>412000</v>
      </c>
      <c r="I1575" s="5">
        <f t="shared" si="24"/>
        <v>103000</v>
      </c>
    </row>
    <row r="1576" spans="1:9" x14ac:dyDescent="0.3">
      <c r="A1576" t="s">
        <v>504</v>
      </c>
      <c r="B1576" t="s">
        <v>58</v>
      </c>
      <c r="C1576" t="s">
        <v>17</v>
      </c>
      <c r="D1576" t="s">
        <v>11</v>
      </c>
      <c r="E1576">
        <v>98</v>
      </c>
      <c r="F1576" s="6">
        <v>3500</v>
      </c>
      <c r="G1576" s="6">
        <v>2500</v>
      </c>
      <c r="H1576" s="6">
        <v>343000</v>
      </c>
      <c r="I1576" s="5">
        <f t="shared" si="24"/>
        <v>98000</v>
      </c>
    </row>
    <row r="1577" spans="1:9" x14ac:dyDescent="0.3">
      <c r="A1577" t="s">
        <v>520</v>
      </c>
      <c r="B1577" t="s">
        <v>23</v>
      </c>
      <c r="C1577" t="s">
        <v>10</v>
      </c>
      <c r="D1577" t="s">
        <v>11</v>
      </c>
      <c r="E1577">
        <v>75</v>
      </c>
      <c r="F1577" s="6">
        <v>3500</v>
      </c>
      <c r="G1577" s="6">
        <v>2500</v>
      </c>
      <c r="H1577" s="6">
        <v>262500</v>
      </c>
      <c r="I1577" s="5">
        <f t="shared" si="24"/>
        <v>75000</v>
      </c>
    </row>
    <row r="1578" spans="1:9" x14ac:dyDescent="0.3">
      <c r="A1578" t="s">
        <v>656</v>
      </c>
      <c r="B1578" t="s">
        <v>23</v>
      </c>
      <c r="C1578" t="s">
        <v>26</v>
      </c>
      <c r="D1578" t="s">
        <v>24</v>
      </c>
      <c r="E1578">
        <v>62</v>
      </c>
      <c r="F1578" s="6">
        <v>1200</v>
      </c>
      <c r="G1578" s="6">
        <v>800</v>
      </c>
      <c r="H1578" s="6">
        <v>74400</v>
      </c>
      <c r="I1578" s="5">
        <f t="shared" si="24"/>
        <v>24800</v>
      </c>
    </row>
    <row r="1579" spans="1:9" x14ac:dyDescent="0.3">
      <c r="A1579" t="s">
        <v>358</v>
      </c>
      <c r="B1579" t="s">
        <v>28</v>
      </c>
      <c r="C1579" t="s">
        <v>10</v>
      </c>
      <c r="D1579" t="s">
        <v>11</v>
      </c>
      <c r="E1579">
        <v>91</v>
      </c>
      <c r="F1579" s="6">
        <v>3500</v>
      </c>
      <c r="G1579" s="6">
        <v>2500</v>
      </c>
      <c r="H1579" s="6">
        <v>318500</v>
      </c>
      <c r="I1579" s="5">
        <f t="shared" si="24"/>
        <v>91000</v>
      </c>
    </row>
    <row r="1580" spans="1:9" x14ac:dyDescent="0.3">
      <c r="A1580" t="s">
        <v>670</v>
      </c>
      <c r="B1580" t="s">
        <v>43</v>
      </c>
      <c r="C1580" t="s">
        <v>14</v>
      </c>
      <c r="D1580" t="s">
        <v>11</v>
      </c>
      <c r="E1580">
        <v>111</v>
      </c>
      <c r="F1580" s="6">
        <v>3500</v>
      </c>
      <c r="G1580" s="6">
        <v>2500</v>
      </c>
      <c r="H1580" s="6">
        <v>388500</v>
      </c>
      <c r="I1580" s="5">
        <f t="shared" si="24"/>
        <v>111000</v>
      </c>
    </row>
    <row r="1581" spans="1:9" x14ac:dyDescent="0.3">
      <c r="A1581" t="s">
        <v>414</v>
      </c>
      <c r="B1581" t="s">
        <v>28</v>
      </c>
      <c r="C1581" t="s">
        <v>14</v>
      </c>
      <c r="D1581" t="s">
        <v>15</v>
      </c>
      <c r="E1581">
        <v>150</v>
      </c>
      <c r="F1581" s="6">
        <v>4000</v>
      </c>
      <c r="G1581" s="6">
        <v>3000</v>
      </c>
      <c r="H1581" s="6">
        <v>600000</v>
      </c>
      <c r="I1581" s="5">
        <f t="shared" si="24"/>
        <v>150000</v>
      </c>
    </row>
    <row r="1582" spans="1:9" x14ac:dyDescent="0.3">
      <c r="A1582" t="s">
        <v>241</v>
      </c>
      <c r="B1582" t="s">
        <v>36</v>
      </c>
      <c r="C1582" t="s">
        <v>10</v>
      </c>
      <c r="D1582" t="s">
        <v>34</v>
      </c>
      <c r="E1582">
        <v>56</v>
      </c>
      <c r="F1582" s="6">
        <v>10000</v>
      </c>
      <c r="G1582" s="6">
        <v>7000</v>
      </c>
      <c r="H1582" s="6">
        <v>560000</v>
      </c>
      <c r="I1582" s="5">
        <f t="shared" si="24"/>
        <v>168000</v>
      </c>
    </row>
    <row r="1583" spans="1:9" x14ac:dyDescent="0.3">
      <c r="A1583" t="s">
        <v>272</v>
      </c>
      <c r="B1583" t="s">
        <v>36</v>
      </c>
      <c r="C1583" t="s">
        <v>14</v>
      </c>
      <c r="D1583" t="s">
        <v>18</v>
      </c>
      <c r="E1583">
        <v>126</v>
      </c>
      <c r="F1583" s="6">
        <v>6000</v>
      </c>
      <c r="G1583" s="6">
        <v>4000</v>
      </c>
      <c r="H1583" s="6">
        <v>756000</v>
      </c>
      <c r="I1583" s="5">
        <f t="shared" si="24"/>
        <v>252000</v>
      </c>
    </row>
    <row r="1584" spans="1:9" x14ac:dyDescent="0.3">
      <c r="A1584" t="s">
        <v>524</v>
      </c>
      <c r="B1584" t="s">
        <v>28</v>
      </c>
      <c r="C1584" t="s">
        <v>26</v>
      </c>
      <c r="D1584" t="s">
        <v>24</v>
      </c>
      <c r="E1584">
        <v>97</v>
      </c>
      <c r="F1584" s="6">
        <v>1200</v>
      </c>
      <c r="G1584" s="6">
        <v>800</v>
      </c>
      <c r="H1584" s="6">
        <v>116400</v>
      </c>
      <c r="I1584" s="5">
        <f t="shared" si="24"/>
        <v>38800</v>
      </c>
    </row>
    <row r="1585" spans="1:9" x14ac:dyDescent="0.3">
      <c r="A1585" t="s">
        <v>76</v>
      </c>
      <c r="B1585" t="s">
        <v>20</v>
      </c>
      <c r="C1585" t="s">
        <v>10</v>
      </c>
      <c r="D1585" t="s">
        <v>18</v>
      </c>
      <c r="E1585">
        <v>109</v>
      </c>
      <c r="F1585" s="6">
        <v>6000</v>
      </c>
      <c r="G1585" s="6">
        <v>4000</v>
      </c>
      <c r="H1585" s="6">
        <v>654000</v>
      </c>
      <c r="I1585" s="5">
        <f t="shared" si="24"/>
        <v>218000</v>
      </c>
    </row>
    <row r="1586" spans="1:9" x14ac:dyDescent="0.3">
      <c r="A1586" t="s">
        <v>143</v>
      </c>
      <c r="B1586" t="s">
        <v>13</v>
      </c>
      <c r="C1586" t="s">
        <v>10</v>
      </c>
      <c r="D1586" t="s">
        <v>15</v>
      </c>
      <c r="E1586">
        <v>118</v>
      </c>
      <c r="F1586" s="6">
        <v>4000</v>
      </c>
      <c r="G1586" s="6">
        <v>3000</v>
      </c>
      <c r="H1586" s="6">
        <v>472000</v>
      </c>
      <c r="I1586" s="5">
        <f t="shared" si="24"/>
        <v>118000</v>
      </c>
    </row>
    <row r="1587" spans="1:9" x14ac:dyDescent="0.3">
      <c r="A1587" t="s">
        <v>82</v>
      </c>
      <c r="B1587" t="s">
        <v>20</v>
      </c>
      <c r="C1587" t="s">
        <v>14</v>
      </c>
      <c r="D1587" t="s">
        <v>31</v>
      </c>
      <c r="E1587">
        <v>86</v>
      </c>
      <c r="F1587" s="6">
        <v>1000</v>
      </c>
      <c r="G1587" s="6">
        <v>700</v>
      </c>
      <c r="H1587" s="6">
        <v>86000</v>
      </c>
      <c r="I1587" s="5">
        <f t="shared" si="24"/>
        <v>25800</v>
      </c>
    </row>
    <row r="1588" spans="1:9" x14ac:dyDescent="0.3">
      <c r="A1588" t="s">
        <v>257</v>
      </c>
      <c r="B1588" t="s">
        <v>36</v>
      </c>
      <c r="C1588" t="s">
        <v>17</v>
      </c>
      <c r="D1588" t="s">
        <v>24</v>
      </c>
      <c r="E1588">
        <v>139</v>
      </c>
      <c r="F1588" s="6">
        <v>1200</v>
      </c>
      <c r="G1588" s="6">
        <v>800</v>
      </c>
      <c r="H1588" s="6">
        <v>166800</v>
      </c>
      <c r="I1588" s="5">
        <f t="shared" si="24"/>
        <v>55600</v>
      </c>
    </row>
    <row r="1589" spans="1:9" x14ac:dyDescent="0.3">
      <c r="A1589" t="s">
        <v>170</v>
      </c>
      <c r="B1589" t="s">
        <v>23</v>
      </c>
      <c r="C1589" t="s">
        <v>17</v>
      </c>
      <c r="D1589" t="s">
        <v>11</v>
      </c>
      <c r="E1589">
        <v>72</v>
      </c>
      <c r="F1589" s="6">
        <v>3500</v>
      </c>
      <c r="G1589" s="6">
        <v>2500</v>
      </c>
      <c r="H1589" s="6">
        <v>252000</v>
      </c>
      <c r="I1589" s="5">
        <f t="shared" si="24"/>
        <v>72000</v>
      </c>
    </row>
    <row r="1590" spans="1:9" x14ac:dyDescent="0.3">
      <c r="A1590" t="s">
        <v>595</v>
      </c>
      <c r="B1590" t="s">
        <v>23</v>
      </c>
      <c r="C1590" t="s">
        <v>26</v>
      </c>
      <c r="D1590" t="s">
        <v>18</v>
      </c>
      <c r="E1590">
        <v>114</v>
      </c>
      <c r="F1590" s="6">
        <v>6000</v>
      </c>
      <c r="G1590" s="6">
        <v>4000</v>
      </c>
      <c r="H1590" s="6">
        <v>684000</v>
      </c>
      <c r="I1590" s="5">
        <f t="shared" si="24"/>
        <v>228000</v>
      </c>
    </row>
    <row r="1591" spans="1:9" x14ac:dyDescent="0.3">
      <c r="A1591" t="s">
        <v>576</v>
      </c>
      <c r="B1591" t="s">
        <v>43</v>
      </c>
      <c r="C1591" t="s">
        <v>10</v>
      </c>
      <c r="D1591" t="s">
        <v>18</v>
      </c>
      <c r="E1591">
        <v>79</v>
      </c>
      <c r="F1591" s="6">
        <v>6000</v>
      </c>
      <c r="G1591" s="6">
        <v>4000</v>
      </c>
      <c r="H1591" s="6">
        <v>474000</v>
      </c>
      <c r="I1591" s="5">
        <f t="shared" si="24"/>
        <v>158000</v>
      </c>
    </row>
    <row r="1592" spans="1:9" x14ac:dyDescent="0.3">
      <c r="A1592" t="s">
        <v>583</v>
      </c>
      <c r="B1592" t="s">
        <v>36</v>
      </c>
      <c r="C1592" t="s">
        <v>14</v>
      </c>
      <c r="D1592" t="s">
        <v>15</v>
      </c>
      <c r="E1592">
        <v>138</v>
      </c>
      <c r="F1592" s="6">
        <v>4000</v>
      </c>
      <c r="G1592" s="6">
        <v>3000</v>
      </c>
      <c r="H1592" s="6">
        <v>552000</v>
      </c>
      <c r="I1592" s="5">
        <f t="shared" si="24"/>
        <v>138000</v>
      </c>
    </row>
    <row r="1593" spans="1:9" x14ac:dyDescent="0.3">
      <c r="A1593" t="s">
        <v>654</v>
      </c>
      <c r="B1593" t="s">
        <v>43</v>
      </c>
      <c r="C1593" t="s">
        <v>17</v>
      </c>
      <c r="D1593" t="s">
        <v>21</v>
      </c>
      <c r="E1593">
        <v>125</v>
      </c>
      <c r="F1593" s="6">
        <v>600</v>
      </c>
      <c r="G1593" s="6">
        <v>400</v>
      </c>
      <c r="H1593" s="6">
        <v>75000</v>
      </c>
      <c r="I1593" s="5">
        <f t="shared" si="24"/>
        <v>25000</v>
      </c>
    </row>
    <row r="1594" spans="1:9" x14ac:dyDescent="0.3">
      <c r="A1594" t="s">
        <v>380</v>
      </c>
      <c r="B1594" t="s">
        <v>9</v>
      </c>
      <c r="C1594" t="s">
        <v>26</v>
      </c>
      <c r="D1594" t="s">
        <v>11</v>
      </c>
      <c r="E1594">
        <v>148</v>
      </c>
      <c r="F1594" s="6">
        <v>3500</v>
      </c>
      <c r="G1594" s="6">
        <v>2500</v>
      </c>
      <c r="H1594" s="6">
        <v>518000</v>
      </c>
      <c r="I1594" s="5">
        <f t="shared" si="24"/>
        <v>148000</v>
      </c>
    </row>
    <row r="1595" spans="1:9" x14ac:dyDescent="0.3">
      <c r="A1595" t="s">
        <v>339</v>
      </c>
      <c r="B1595" t="s">
        <v>13</v>
      </c>
      <c r="C1595" t="s">
        <v>17</v>
      </c>
      <c r="D1595" t="s">
        <v>18</v>
      </c>
      <c r="E1595">
        <v>80</v>
      </c>
      <c r="F1595" s="6">
        <v>6000</v>
      </c>
      <c r="G1595" s="6">
        <v>4000</v>
      </c>
      <c r="H1595" s="6">
        <v>480000</v>
      </c>
      <c r="I1595" s="5">
        <f t="shared" si="24"/>
        <v>160000</v>
      </c>
    </row>
    <row r="1596" spans="1:9" x14ac:dyDescent="0.3">
      <c r="A1596" t="s">
        <v>651</v>
      </c>
      <c r="B1596" t="s">
        <v>28</v>
      </c>
      <c r="C1596" t="s">
        <v>17</v>
      </c>
      <c r="D1596" t="s">
        <v>21</v>
      </c>
      <c r="E1596">
        <v>57</v>
      </c>
      <c r="F1596" s="6">
        <v>600</v>
      </c>
      <c r="G1596" s="6">
        <v>400</v>
      </c>
      <c r="H1596" s="6">
        <v>34200</v>
      </c>
      <c r="I1596" s="5">
        <f t="shared" si="24"/>
        <v>11400</v>
      </c>
    </row>
    <row r="1597" spans="1:9" x14ac:dyDescent="0.3">
      <c r="A1597" t="s">
        <v>541</v>
      </c>
      <c r="B1597" t="s">
        <v>36</v>
      </c>
      <c r="C1597" t="s">
        <v>14</v>
      </c>
      <c r="D1597" t="s">
        <v>31</v>
      </c>
      <c r="E1597">
        <v>116</v>
      </c>
      <c r="F1597" s="6">
        <v>1000</v>
      </c>
      <c r="G1597" s="6">
        <v>700</v>
      </c>
      <c r="H1597" s="6">
        <v>116000</v>
      </c>
      <c r="I1597" s="5">
        <f t="shared" si="24"/>
        <v>34800</v>
      </c>
    </row>
    <row r="1598" spans="1:9" x14ac:dyDescent="0.3">
      <c r="A1598" t="s">
        <v>228</v>
      </c>
      <c r="B1598" t="s">
        <v>40</v>
      </c>
      <c r="C1598" t="s">
        <v>26</v>
      </c>
      <c r="D1598" t="s">
        <v>31</v>
      </c>
      <c r="E1598">
        <v>113</v>
      </c>
      <c r="F1598" s="6">
        <v>1000</v>
      </c>
      <c r="G1598" s="6">
        <v>700</v>
      </c>
      <c r="H1598" s="6">
        <v>113000</v>
      </c>
      <c r="I1598" s="5">
        <f t="shared" si="24"/>
        <v>33900</v>
      </c>
    </row>
    <row r="1599" spans="1:9" x14ac:dyDescent="0.3">
      <c r="A1599" t="s">
        <v>619</v>
      </c>
      <c r="B1599" t="s">
        <v>30</v>
      </c>
      <c r="C1599" t="s">
        <v>17</v>
      </c>
      <c r="D1599" t="s">
        <v>24</v>
      </c>
      <c r="E1599">
        <v>132</v>
      </c>
      <c r="F1599" s="6">
        <v>1200</v>
      </c>
      <c r="G1599" s="6">
        <v>800</v>
      </c>
      <c r="H1599" s="6">
        <v>158400</v>
      </c>
      <c r="I1599" s="5">
        <f t="shared" si="24"/>
        <v>52800</v>
      </c>
    </row>
    <row r="1600" spans="1:9" x14ac:dyDescent="0.3">
      <c r="A1600" t="s">
        <v>635</v>
      </c>
      <c r="B1600" t="s">
        <v>9</v>
      </c>
      <c r="C1600" t="s">
        <v>17</v>
      </c>
      <c r="D1600" t="s">
        <v>24</v>
      </c>
      <c r="E1600">
        <v>84</v>
      </c>
      <c r="F1600" s="6">
        <v>1200</v>
      </c>
      <c r="G1600" s="6">
        <v>800</v>
      </c>
      <c r="H1600" s="6">
        <v>100800</v>
      </c>
      <c r="I1600" s="5">
        <f t="shared" si="24"/>
        <v>33600</v>
      </c>
    </row>
    <row r="1601" spans="1:9" x14ac:dyDescent="0.3">
      <c r="A1601" t="s">
        <v>639</v>
      </c>
      <c r="B1601" t="s">
        <v>58</v>
      </c>
      <c r="C1601" t="s">
        <v>17</v>
      </c>
      <c r="D1601" t="s">
        <v>15</v>
      </c>
      <c r="E1601">
        <v>132</v>
      </c>
      <c r="F1601" s="6">
        <v>4000</v>
      </c>
      <c r="G1601" s="6">
        <v>3000</v>
      </c>
      <c r="H1601" s="6">
        <v>528000</v>
      </c>
      <c r="I1601" s="5">
        <f t="shared" si="24"/>
        <v>132000</v>
      </c>
    </row>
    <row r="1602" spans="1:9" x14ac:dyDescent="0.3">
      <c r="A1602" t="s">
        <v>72</v>
      </c>
      <c r="B1602" t="s">
        <v>43</v>
      </c>
      <c r="C1602" t="s">
        <v>17</v>
      </c>
      <c r="D1602" t="s">
        <v>34</v>
      </c>
      <c r="E1602">
        <v>105</v>
      </c>
      <c r="F1602" s="6">
        <v>10000</v>
      </c>
      <c r="G1602" s="6">
        <v>7000</v>
      </c>
      <c r="H1602" s="6">
        <v>1050000</v>
      </c>
      <c r="I1602" s="5">
        <f t="shared" ref="I1602:I1665" si="25">H1602-(G1602*E1602)</f>
        <v>315000</v>
      </c>
    </row>
    <row r="1603" spans="1:9" x14ac:dyDescent="0.3">
      <c r="A1603" t="s">
        <v>268</v>
      </c>
      <c r="B1603" t="s">
        <v>13</v>
      </c>
      <c r="C1603" t="s">
        <v>17</v>
      </c>
      <c r="D1603" t="s">
        <v>21</v>
      </c>
      <c r="E1603">
        <v>111</v>
      </c>
      <c r="F1603" s="6">
        <v>600</v>
      </c>
      <c r="G1603" s="6">
        <v>400</v>
      </c>
      <c r="H1603" s="6">
        <v>66600</v>
      </c>
      <c r="I1603" s="5">
        <f t="shared" si="25"/>
        <v>22200</v>
      </c>
    </row>
    <row r="1604" spans="1:9" x14ac:dyDescent="0.3">
      <c r="A1604" t="s">
        <v>217</v>
      </c>
      <c r="B1604" t="s">
        <v>30</v>
      </c>
      <c r="C1604" t="s">
        <v>26</v>
      </c>
      <c r="D1604" t="s">
        <v>24</v>
      </c>
      <c r="E1604">
        <v>128</v>
      </c>
      <c r="F1604" s="6">
        <v>1200</v>
      </c>
      <c r="G1604" s="6">
        <v>800</v>
      </c>
      <c r="H1604" s="6">
        <v>153600</v>
      </c>
      <c r="I1604" s="5">
        <f t="shared" si="25"/>
        <v>51200</v>
      </c>
    </row>
    <row r="1605" spans="1:9" x14ac:dyDescent="0.3">
      <c r="A1605" t="s">
        <v>344</v>
      </c>
      <c r="B1605" t="s">
        <v>20</v>
      </c>
      <c r="C1605" t="s">
        <v>26</v>
      </c>
      <c r="D1605" t="s">
        <v>34</v>
      </c>
      <c r="E1605">
        <v>108</v>
      </c>
      <c r="F1605" s="6">
        <v>10000</v>
      </c>
      <c r="G1605" s="6">
        <v>7000</v>
      </c>
      <c r="H1605" s="6">
        <v>1080000</v>
      </c>
      <c r="I1605" s="5">
        <f t="shared" si="25"/>
        <v>324000</v>
      </c>
    </row>
    <row r="1606" spans="1:9" x14ac:dyDescent="0.3">
      <c r="A1606" t="s">
        <v>265</v>
      </c>
      <c r="B1606" t="s">
        <v>23</v>
      </c>
      <c r="C1606" t="s">
        <v>10</v>
      </c>
      <c r="D1606" t="s">
        <v>24</v>
      </c>
      <c r="E1606">
        <v>104</v>
      </c>
      <c r="F1606" s="6">
        <v>1200</v>
      </c>
      <c r="G1606" s="6">
        <v>800</v>
      </c>
      <c r="H1606" s="6">
        <v>124800</v>
      </c>
      <c r="I1606" s="5">
        <f t="shared" si="25"/>
        <v>41600</v>
      </c>
    </row>
    <row r="1607" spans="1:9" x14ac:dyDescent="0.3">
      <c r="A1607" t="s">
        <v>170</v>
      </c>
      <c r="B1607" t="s">
        <v>28</v>
      </c>
      <c r="C1607" t="s">
        <v>14</v>
      </c>
      <c r="D1607" t="s">
        <v>31</v>
      </c>
      <c r="E1607">
        <v>116</v>
      </c>
      <c r="F1607" s="6">
        <v>1000</v>
      </c>
      <c r="G1607" s="6">
        <v>700</v>
      </c>
      <c r="H1607" s="6">
        <v>116000</v>
      </c>
      <c r="I1607" s="5">
        <f t="shared" si="25"/>
        <v>34800</v>
      </c>
    </row>
    <row r="1608" spans="1:9" x14ac:dyDescent="0.3">
      <c r="A1608" t="s">
        <v>671</v>
      </c>
      <c r="B1608" t="s">
        <v>13</v>
      </c>
      <c r="C1608" t="s">
        <v>17</v>
      </c>
      <c r="D1608" t="s">
        <v>11</v>
      </c>
      <c r="E1608">
        <v>90</v>
      </c>
      <c r="F1608" s="6">
        <v>3500</v>
      </c>
      <c r="G1608" s="6">
        <v>2500</v>
      </c>
      <c r="H1608" s="6">
        <v>315000</v>
      </c>
      <c r="I1608" s="5">
        <f t="shared" si="25"/>
        <v>90000</v>
      </c>
    </row>
    <row r="1609" spans="1:9" x14ac:dyDescent="0.3">
      <c r="A1609" t="s">
        <v>444</v>
      </c>
      <c r="B1609" t="s">
        <v>36</v>
      </c>
      <c r="C1609" t="s">
        <v>17</v>
      </c>
      <c r="D1609" t="s">
        <v>31</v>
      </c>
      <c r="E1609">
        <v>81</v>
      </c>
      <c r="F1609" s="6">
        <v>1000</v>
      </c>
      <c r="G1609" s="6">
        <v>700</v>
      </c>
      <c r="H1609" s="6">
        <v>81000</v>
      </c>
      <c r="I1609" s="5">
        <f t="shared" si="25"/>
        <v>24300</v>
      </c>
    </row>
    <row r="1610" spans="1:9" x14ac:dyDescent="0.3">
      <c r="A1610" t="s">
        <v>193</v>
      </c>
      <c r="B1610" t="s">
        <v>28</v>
      </c>
      <c r="C1610" t="s">
        <v>26</v>
      </c>
      <c r="D1610" t="s">
        <v>11</v>
      </c>
      <c r="E1610">
        <v>111</v>
      </c>
      <c r="F1610" s="6">
        <v>3500</v>
      </c>
      <c r="G1610" s="6">
        <v>2500</v>
      </c>
      <c r="H1610" s="6">
        <v>388500</v>
      </c>
      <c r="I1610" s="5">
        <f t="shared" si="25"/>
        <v>111000</v>
      </c>
    </row>
    <row r="1611" spans="1:9" x14ac:dyDescent="0.3">
      <c r="A1611" t="s">
        <v>494</v>
      </c>
      <c r="B1611" t="s">
        <v>9</v>
      </c>
      <c r="C1611" t="s">
        <v>14</v>
      </c>
      <c r="D1611" t="s">
        <v>31</v>
      </c>
      <c r="E1611">
        <v>64</v>
      </c>
      <c r="F1611" s="6">
        <v>1000</v>
      </c>
      <c r="G1611" s="6">
        <v>700</v>
      </c>
      <c r="H1611" s="6">
        <v>64000</v>
      </c>
      <c r="I1611" s="5">
        <f t="shared" si="25"/>
        <v>19200</v>
      </c>
    </row>
    <row r="1612" spans="1:9" x14ac:dyDescent="0.3">
      <c r="A1612" t="s">
        <v>672</v>
      </c>
      <c r="B1612" t="s">
        <v>36</v>
      </c>
      <c r="C1612" t="s">
        <v>17</v>
      </c>
      <c r="D1612" t="s">
        <v>34</v>
      </c>
      <c r="E1612">
        <v>90</v>
      </c>
      <c r="F1612" s="6">
        <v>10000</v>
      </c>
      <c r="G1612" s="6">
        <v>7000</v>
      </c>
      <c r="H1612" s="6">
        <v>900000</v>
      </c>
      <c r="I1612" s="5">
        <f t="shared" si="25"/>
        <v>270000</v>
      </c>
    </row>
    <row r="1613" spans="1:9" x14ac:dyDescent="0.3">
      <c r="A1613" t="s">
        <v>117</v>
      </c>
      <c r="B1613" t="s">
        <v>20</v>
      </c>
      <c r="C1613" t="s">
        <v>17</v>
      </c>
      <c r="D1613" t="s">
        <v>15</v>
      </c>
      <c r="E1613">
        <v>71</v>
      </c>
      <c r="F1613" s="6">
        <v>4000</v>
      </c>
      <c r="G1613" s="6">
        <v>3000</v>
      </c>
      <c r="H1613" s="6">
        <v>284000</v>
      </c>
      <c r="I1613" s="5">
        <f t="shared" si="25"/>
        <v>71000</v>
      </c>
    </row>
    <row r="1614" spans="1:9" x14ac:dyDescent="0.3">
      <c r="A1614" t="s">
        <v>150</v>
      </c>
      <c r="B1614" t="s">
        <v>23</v>
      </c>
      <c r="C1614" t="s">
        <v>26</v>
      </c>
      <c r="D1614" t="s">
        <v>15</v>
      </c>
      <c r="E1614">
        <v>113</v>
      </c>
      <c r="F1614" s="6">
        <v>4000</v>
      </c>
      <c r="G1614" s="6">
        <v>3000</v>
      </c>
      <c r="H1614" s="6">
        <v>452000</v>
      </c>
      <c r="I1614" s="5">
        <f t="shared" si="25"/>
        <v>113000</v>
      </c>
    </row>
    <row r="1615" spans="1:9" x14ac:dyDescent="0.3">
      <c r="A1615" t="s">
        <v>178</v>
      </c>
      <c r="B1615" t="s">
        <v>43</v>
      </c>
      <c r="C1615" t="s">
        <v>10</v>
      </c>
      <c r="D1615" t="s">
        <v>21</v>
      </c>
      <c r="E1615">
        <v>97</v>
      </c>
      <c r="F1615" s="6">
        <v>600</v>
      </c>
      <c r="G1615" s="6">
        <v>400</v>
      </c>
      <c r="H1615" s="6">
        <v>58200</v>
      </c>
      <c r="I1615" s="5">
        <f t="shared" si="25"/>
        <v>19400</v>
      </c>
    </row>
    <row r="1616" spans="1:9" x14ac:dyDescent="0.3">
      <c r="A1616" t="s">
        <v>142</v>
      </c>
      <c r="B1616" t="s">
        <v>43</v>
      </c>
      <c r="C1616" t="s">
        <v>14</v>
      </c>
      <c r="D1616" t="s">
        <v>11</v>
      </c>
      <c r="E1616">
        <v>143</v>
      </c>
      <c r="F1616" s="6">
        <v>3500</v>
      </c>
      <c r="G1616" s="6">
        <v>2500</v>
      </c>
      <c r="H1616" s="6">
        <v>500500</v>
      </c>
      <c r="I1616" s="5">
        <f t="shared" si="25"/>
        <v>143000</v>
      </c>
    </row>
    <row r="1617" spans="1:9" x14ac:dyDescent="0.3">
      <c r="A1617" t="s">
        <v>624</v>
      </c>
      <c r="B1617" t="s">
        <v>20</v>
      </c>
      <c r="C1617" t="s">
        <v>14</v>
      </c>
      <c r="D1617" t="s">
        <v>24</v>
      </c>
      <c r="E1617">
        <v>64</v>
      </c>
      <c r="F1617" s="6">
        <v>1200</v>
      </c>
      <c r="G1617" s="6">
        <v>800</v>
      </c>
      <c r="H1617" s="6">
        <v>76800</v>
      </c>
      <c r="I1617" s="5">
        <f t="shared" si="25"/>
        <v>25600</v>
      </c>
    </row>
    <row r="1618" spans="1:9" x14ac:dyDescent="0.3">
      <c r="A1618" t="s">
        <v>190</v>
      </c>
      <c r="B1618" t="s">
        <v>28</v>
      </c>
      <c r="C1618" t="s">
        <v>14</v>
      </c>
      <c r="D1618" t="s">
        <v>31</v>
      </c>
      <c r="E1618">
        <v>138</v>
      </c>
      <c r="F1618" s="6">
        <v>1000</v>
      </c>
      <c r="G1618" s="6">
        <v>700</v>
      </c>
      <c r="H1618" s="6">
        <v>138000</v>
      </c>
      <c r="I1618" s="5">
        <f t="shared" si="25"/>
        <v>41400</v>
      </c>
    </row>
    <row r="1619" spans="1:9" x14ac:dyDescent="0.3">
      <c r="A1619" t="s">
        <v>597</v>
      </c>
      <c r="B1619" t="s">
        <v>30</v>
      </c>
      <c r="C1619" t="s">
        <v>26</v>
      </c>
      <c r="D1619" t="s">
        <v>18</v>
      </c>
      <c r="E1619">
        <v>148</v>
      </c>
      <c r="F1619" s="6">
        <v>6000</v>
      </c>
      <c r="G1619" s="6">
        <v>4000</v>
      </c>
      <c r="H1619" s="6">
        <v>888000</v>
      </c>
      <c r="I1619" s="5">
        <f t="shared" si="25"/>
        <v>296000</v>
      </c>
    </row>
    <row r="1620" spans="1:9" x14ac:dyDescent="0.3">
      <c r="A1620" t="s">
        <v>577</v>
      </c>
      <c r="B1620" t="s">
        <v>58</v>
      </c>
      <c r="C1620" t="s">
        <v>17</v>
      </c>
      <c r="D1620" t="s">
        <v>21</v>
      </c>
      <c r="E1620">
        <v>50</v>
      </c>
      <c r="F1620" s="6">
        <v>600</v>
      </c>
      <c r="G1620" s="6">
        <v>400</v>
      </c>
      <c r="H1620" s="6">
        <v>30000</v>
      </c>
      <c r="I1620" s="5">
        <f t="shared" si="25"/>
        <v>10000</v>
      </c>
    </row>
    <row r="1621" spans="1:9" x14ac:dyDescent="0.3">
      <c r="A1621" t="s">
        <v>436</v>
      </c>
      <c r="B1621" t="s">
        <v>13</v>
      </c>
      <c r="C1621" t="s">
        <v>10</v>
      </c>
      <c r="D1621" t="s">
        <v>11</v>
      </c>
      <c r="E1621">
        <v>111</v>
      </c>
      <c r="F1621" s="6">
        <v>3500</v>
      </c>
      <c r="G1621" s="6">
        <v>2500</v>
      </c>
      <c r="H1621" s="6">
        <v>388500</v>
      </c>
      <c r="I1621" s="5">
        <f t="shared" si="25"/>
        <v>111000</v>
      </c>
    </row>
    <row r="1622" spans="1:9" x14ac:dyDescent="0.3">
      <c r="A1622" t="s">
        <v>495</v>
      </c>
      <c r="B1622" t="s">
        <v>9</v>
      </c>
      <c r="C1622" t="s">
        <v>10</v>
      </c>
      <c r="D1622" t="s">
        <v>11</v>
      </c>
      <c r="E1622">
        <v>66</v>
      </c>
      <c r="F1622" s="6">
        <v>3500</v>
      </c>
      <c r="G1622" s="6">
        <v>2500</v>
      </c>
      <c r="H1622" s="6">
        <v>231000</v>
      </c>
      <c r="I1622" s="5">
        <f t="shared" si="25"/>
        <v>66000</v>
      </c>
    </row>
    <row r="1623" spans="1:9" x14ac:dyDescent="0.3">
      <c r="A1623" t="s">
        <v>631</v>
      </c>
      <c r="B1623" t="s">
        <v>13</v>
      </c>
      <c r="C1623" t="s">
        <v>10</v>
      </c>
      <c r="D1623" t="s">
        <v>15</v>
      </c>
      <c r="E1623">
        <v>143</v>
      </c>
      <c r="F1623" s="6">
        <v>4000</v>
      </c>
      <c r="G1623" s="6">
        <v>3000</v>
      </c>
      <c r="H1623" s="6">
        <v>572000</v>
      </c>
      <c r="I1623" s="5">
        <f t="shared" si="25"/>
        <v>143000</v>
      </c>
    </row>
    <row r="1624" spans="1:9" x14ac:dyDescent="0.3">
      <c r="A1624" t="s">
        <v>29</v>
      </c>
      <c r="B1624" t="s">
        <v>43</v>
      </c>
      <c r="C1624" t="s">
        <v>26</v>
      </c>
      <c r="D1624" t="s">
        <v>31</v>
      </c>
      <c r="E1624">
        <v>85</v>
      </c>
      <c r="F1624" s="6">
        <v>1000</v>
      </c>
      <c r="G1624" s="6">
        <v>700</v>
      </c>
      <c r="H1624" s="6">
        <v>85000</v>
      </c>
      <c r="I1624" s="5">
        <f t="shared" si="25"/>
        <v>25500</v>
      </c>
    </row>
    <row r="1625" spans="1:9" x14ac:dyDescent="0.3">
      <c r="A1625" t="s">
        <v>380</v>
      </c>
      <c r="B1625" t="s">
        <v>43</v>
      </c>
      <c r="C1625" t="s">
        <v>17</v>
      </c>
      <c r="D1625" t="s">
        <v>34</v>
      </c>
      <c r="E1625">
        <v>69</v>
      </c>
      <c r="F1625" s="6">
        <v>10000</v>
      </c>
      <c r="G1625" s="6">
        <v>7000</v>
      </c>
      <c r="H1625" s="6">
        <v>690000</v>
      </c>
      <c r="I1625" s="5">
        <f t="shared" si="25"/>
        <v>207000</v>
      </c>
    </row>
    <row r="1626" spans="1:9" x14ac:dyDescent="0.3">
      <c r="A1626" t="s">
        <v>454</v>
      </c>
      <c r="B1626" t="s">
        <v>30</v>
      </c>
      <c r="C1626" t="s">
        <v>14</v>
      </c>
      <c r="D1626" t="s">
        <v>34</v>
      </c>
      <c r="E1626">
        <v>88</v>
      </c>
      <c r="F1626" s="6">
        <v>10000</v>
      </c>
      <c r="G1626" s="6">
        <v>7000</v>
      </c>
      <c r="H1626" s="6">
        <v>880000</v>
      </c>
      <c r="I1626" s="5">
        <f t="shared" si="25"/>
        <v>264000</v>
      </c>
    </row>
    <row r="1627" spans="1:9" x14ac:dyDescent="0.3">
      <c r="A1627" t="s">
        <v>448</v>
      </c>
      <c r="B1627" t="s">
        <v>36</v>
      </c>
      <c r="C1627" t="s">
        <v>17</v>
      </c>
      <c r="D1627" t="s">
        <v>34</v>
      </c>
      <c r="E1627">
        <v>145</v>
      </c>
      <c r="F1627" s="6">
        <v>10000</v>
      </c>
      <c r="G1627" s="6">
        <v>7000</v>
      </c>
      <c r="H1627" s="6">
        <v>1450000</v>
      </c>
      <c r="I1627" s="5">
        <f t="shared" si="25"/>
        <v>435000</v>
      </c>
    </row>
    <row r="1628" spans="1:9" x14ac:dyDescent="0.3">
      <c r="A1628" t="s">
        <v>562</v>
      </c>
      <c r="B1628" t="s">
        <v>13</v>
      </c>
      <c r="C1628" t="s">
        <v>10</v>
      </c>
      <c r="D1628" t="s">
        <v>18</v>
      </c>
      <c r="E1628">
        <v>137</v>
      </c>
      <c r="F1628" s="6">
        <v>6000</v>
      </c>
      <c r="G1628" s="6">
        <v>4000</v>
      </c>
      <c r="H1628" s="6">
        <v>822000</v>
      </c>
      <c r="I1628" s="5">
        <f t="shared" si="25"/>
        <v>274000</v>
      </c>
    </row>
    <row r="1629" spans="1:9" x14ac:dyDescent="0.3">
      <c r="A1629" t="s">
        <v>494</v>
      </c>
      <c r="B1629" t="s">
        <v>28</v>
      </c>
      <c r="C1629" t="s">
        <v>14</v>
      </c>
      <c r="D1629" t="s">
        <v>21</v>
      </c>
      <c r="E1629">
        <v>137</v>
      </c>
      <c r="F1629" s="6">
        <v>600</v>
      </c>
      <c r="G1629" s="6">
        <v>400</v>
      </c>
      <c r="H1629" s="6">
        <v>82200</v>
      </c>
      <c r="I1629" s="5">
        <f t="shared" si="25"/>
        <v>27400</v>
      </c>
    </row>
    <row r="1630" spans="1:9" x14ac:dyDescent="0.3">
      <c r="A1630" t="s">
        <v>673</v>
      </c>
      <c r="B1630" t="s">
        <v>20</v>
      </c>
      <c r="C1630" t="s">
        <v>14</v>
      </c>
      <c r="D1630" t="s">
        <v>11</v>
      </c>
      <c r="E1630">
        <v>84</v>
      </c>
      <c r="F1630" s="6">
        <v>3500</v>
      </c>
      <c r="G1630" s="6">
        <v>2500</v>
      </c>
      <c r="H1630" s="6">
        <v>294000</v>
      </c>
      <c r="I1630" s="5">
        <f t="shared" si="25"/>
        <v>84000</v>
      </c>
    </row>
    <row r="1631" spans="1:9" x14ac:dyDescent="0.3">
      <c r="A1631" t="s">
        <v>158</v>
      </c>
      <c r="B1631" t="s">
        <v>28</v>
      </c>
      <c r="C1631" t="s">
        <v>26</v>
      </c>
      <c r="D1631" t="s">
        <v>34</v>
      </c>
      <c r="E1631">
        <v>65</v>
      </c>
      <c r="F1631" s="6">
        <v>10000</v>
      </c>
      <c r="G1631" s="6">
        <v>7000</v>
      </c>
      <c r="H1631" s="6">
        <v>650000</v>
      </c>
      <c r="I1631" s="5">
        <f t="shared" si="25"/>
        <v>195000</v>
      </c>
    </row>
    <row r="1632" spans="1:9" x14ac:dyDescent="0.3">
      <c r="A1632" t="s">
        <v>415</v>
      </c>
      <c r="B1632" t="s">
        <v>9</v>
      </c>
      <c r="C1632" t="s">
        <v>14</v>
      </c>
      <c r="D1632" t="s">
        <v>18</v>
      </c>
      <c r="E1632">
        <v>57</v>
      </c>
      <c r="F1632" s="6">
        <v>6000</v>
      </c>
      <c r="G1632" s="6">
        <v>4000</v>
      </c>
      <c r="H1632" s="6">
        <v>342000</v>
      </c>
      <c r="I1632" s="5">
        <f t="shared" si="25"/>
        <v>114000</v>
      </c>
    </row>
    <row r="1633" spans="1:9" x14ac:dyDescent="0.3">
      <c r="A1633" t="s">
        <v>470</v>
      </c>
      <c r="B1633" t="s">
        <v>43</v>
      </c>
      <c r="C1633" t="s">
        <v>17</v>
      </c>
      <c r="D1633" t="s">
        <v>21</v>
      </c>
      <c r="E1633">
        <v>86</v>
      </c>
      <c r="F1633" s="6">
        <v>600</v>
      </c>
      <c r="G1633" s="6">
        <v>400</v>
      </c>
      <c r="H1633" s="6">
        <v>51600</v>
      </c>
      <c r="I1633" s="5">
        <f t="shared" si="25"/>
        <v>17200</v>
      </c>
    </row>
    <row r="1634" spans="1:9" x14ac:dyDescent="0.3">
      <c r="A1634" t="s">
        <v>566</v>
      </c>
      <c r="B1634" t="s">
        <v>20</v>
      </c>
      <c r="C1634" t="s">
        <v>14</v>
      </c>
      <c r="D1634" t="s">
        <v>18</v>
      </c>
      <c r="E1634">
        <v>118</v>
      </c>
      <c r="F1634" s="6">
        <v>6000</v>
      </c>
      <c r="G1634" s="6">
        <v>4000</v>
      </c>
      <c r="H1634" s="6">
        <v>708000</v>
      </c>
      <c r="I1634" s="5">
        <f t="shared" si="25"/>
        <v>236000</v>
      </c>
    </row>
    <row r="1635" spans="1:9" x14ac:dyDescent="0.3">
      <c r="A1635" t="s">
        <v>517</v>
      </c>
      <c r="B1635" t="s">
        <v>23</v>
      </c>
      <c r="C1635" t="s">
        <v>26</v>
      </c>
      <c r="D1635" t="s">
        <v>34</v>
      </c>
      <c r="E1635">
        <v>132</v>
      </c>
      <c r="F1635" s="6">
        <v>10000</v>
      </c>
      <c r="G1635" s="6">
        <v>7000</v>
      </c>
      <c r="H1635" s="6">
        <v>1320000</v>
      </c>
      <c r="I1635" s="5">
        <f t="shared" si="25"/>
        <v>396000</v>
      </c>
    </row>
    <row r="1636" spans="1:9" x14ac:dyDescent="0.3">
      <c r="A1636" t="s">
        <v>185</v>
      </c>
      <c r="B1636" t="s">
        <v>58</v>
      </c>
      <c r="C1636" t="s">
        <v>10</v>
      </c>
      <c r="D1636" t="s">
        <v>31</v>
      </c>
      <c r="E1636">
        <v>102</v>
      </c>
      <c r="F1636" s="6">
        <v>1000</v>
      </c>
      <c r="G1636" s="6">
        <v>700</v>
      </c>
      <c r="H1636" s="6">
        <v>102000</v>
      </c>
      <c r="I1636" s="5">
        <f t="shared" si="25"/>
        <v>30600</v>
      </c>
    </row>
    <row r="1637" spans="1:9" x14ac:dyDescent="0.3">
      <c r="A1637" t="s">
        <v>265</v>
      </c>
      <c r="B1637" t="s">
        <v>28</v>
      </c>
      <c r="C1637" t="s">
        <v>17</v>
      </c>
      <c r="D1637" t="s">
        <v>31</v>
      </c>
      <c r="E1637">
        <v>121</v>
      </c>
      <c r="F1637" s="6">
        <v>1000</v>
      </c>
      <c r="G1637" s="6">
        <v>700</v>
      </c>
      <c r="H1637" s="6">
        <v>121000</v>
      </c>
      <c r="I1637" s="5">
        <f t="shared" si="25"/>
        <v>36300</v>
      </c>
    </row>
    <row r="1638" spans="1:9" x14ac:dyDescent="0.3">
      <c r="A1638" t="s">
        <v>674</v>
      </c>
      <c r="B1638" t="s">
        <v>9</v>
      </c>
      <c r="C1638" t="s">
        <v>10</v>
      </c>
      <c r="D1638" t="s">
        <v>11</v>
      </c>
      <c r="E1638">
        <v>122</v>
      </c>
      <c r="F1638" s="6">
        <v>3500</v>
      </c>
      <c r="G1638" s="6">
        <v>2500</v>
      </c>
      <c r="H1638" s="6">
        <v>427000</v>
      </c>
      <c r="I1638" s="5">
        <f t="shared" si="25"/>
        <v>122000</v>
      </c>
    </row>
    <row r="1639" spans="1:9" x14ac:dyDescent="0.3">
      <c r="A1639" t="s">
        <v>576</v>
      </c>
      <c r="B1639" t="s">
        <v>9</v>
      </c>
      <c r="C1639" t="s">
        <v>26</v>
      </c>
      <c r="D1639" t="s">
        <v>15</v>
      </c>
      <c r="E1639">
        <v>128</v>
      </c>
      <c r="F1639" s="6">
        <v>4000</v>
      </c>
      <c r="G1639" s="6">
        <v>3000</v>
      </c>
      <c r="H1639" s="6">
        <v>512000</v>
      </c>
      <c r="I1639" s="5">
        <f t="shared" si="25"/>
        <v>128000</v>
      </c>
    </row>
    <row r="1640" spans="1:9" x14ac:dyDescent="0.3">
      <c r="A1640" t="s">
        <v>221</v>
      </c>
      <c r="B1640" t="s">
        <v>43</v>
      </c>
      <c r="C1640" t="s">
        <v>26</v>
      </c>
      <c r="D1640" t="s">
        <v>15</v>
      </c>
      <c r="E1640">
        <v>134</v>
      </c>
      <c r="F1640" s="6">
        <v>4000</v>
      </c>
      <c r="G1640" s="6">
        <v>3000</v>
      </c>
      <c r="H1640" s="6">
        <v>536000</v>
      </c>
      <c r="I1640" s="5">
        <f t="shared" si="25"/>
        <v>134000</v>
      </c>
    </row>
    <row r="1641" spans="1:9" x14ac:dyDescent="0.3">
      <c r="A1641" t="s">
        <v>273</v>
      </c>
      <c r="B1641" t="s">
        <v>30</v>
      </c>
      <c r="C1641" t="s">
        <v>17</v>
      </c>
      <c r="D1641" t="s">
        <v>18</v>
      </c>
      <c r="E1641">
        <v>135</v>
      </c>
      <c r="F1641" s="6">
        <v>6000</v>
      </c>
      <c r="G1641" s="6">
        <v>4000</v>
      </c>
      <c r="H1641" s="6">
        <v>810000</v>
      </c>
      <c r="I1641" s="5">
        <f t="shared" si="25"/>
        <v>270000</v>
      </c>
    </row>
    <row r="1642" spans="1:9" x14ac:dyDescent="0.3">
      <c r="A1642" t="s">
        <v>254</v>
      </c>
      <c r="B1642" t="s">
        <v>23</v>
      </c>
      <c r="C1642" t="s">
        <v>14</v>
      </c>
      <c r="D1642" t="s">
        <v>21</v>
      </c>
      <c r="E1642">
        <v>99</v>
      </c>
      <c r="F1642" s="6">
        <v>600</v>
      </c>
      <c r="G1642" s="6">
        <v>400</v>
      </c>
      <c r="H1642" s="6">
        <v>59400</v>
      </c>
      <c r="I1642" s="5">
        <f t="shared" si="25"/>
        <v>19800</v>
      </c>
    </row>
    <row r="1643" spans="1:9" x14ac:dyDescent="0.3">
      <c r="A1643" t="s">
        <v>350</v>
      </c>
      <c r="B1643" t="s">
        <v>58</v>
      </c>
      <c r="C1643" t="s">
        <v>14</v>
      </c>
      <c r="D1643" t="s">
        <v>31</v>
      </c>
      <c r="E1643">
        <v>120</v>
      </c>
      <c r="F1643" s="6">
        <v>1000</v>
      </c>
      <c r="G1643" s="6">
        <v>700</v>
      </c>
      <c r="H1643" s="6">
        <v>120000</v>
      </c>
      <c r="I1643" s="5">
        <f t="shared" si="25"/>
        <v>36000</v>
      </c>
    </row>
    <row r="1644" spans="1:9" x14ac:dyDescent="0.3">
      <c r="A1644" t="s">
        <v>550</v>
      </c>
      <c r="B1644" t="s">
        <v>20</v>
      </c>
      <c r="C1644" t="s">
        <v>10</v>
      </c>
      <c r="D1644" t="s">
        <v>15</v>
      </c>
      <c r="E1644">
        <v>77</v>
      </c>
      <c r="F1644" s="6">
        <v>4000</v>
      </c>
      <c r="G1644" s="6">
        <v>3000</v>
      </c>
      <c r="H1644" s="6">
        <v>308000</v>
      </c>
      <c r="I1644" s="5">
        <f t="shared" si="25"/>
        <v>77000</v>
      </c>
    </row>
    <row r="1645" spans="1:9" x14ac:dyDescent="0.3">
      <c r="A1645" t="s">
        <v>397</v>
      </c>
      <c r="B1645" t="s">
        <v>13</v>
      </c>
      <c r="C1645" t="s">
        <v>17</v>
      </c>
      <c r="D1645" t="s">
        <v>24</v>
      </c>
      <c r="E1645">
        <v>88</v>
      </c>
      <c r="F1645" s="6">
        <v>1200</v>
      </c>
      <c r="G1645" s="6">
        <v>800</v>
      </c>
      <c r="H1645" s="6">
        <v>105600</v>
      </c>
      <c r="I1645" s="5">
        <f t="shared" si="25"/>
        <v>35200</v>
      </c>
    </row>
    <row r="1646" spans="1:9" x14ac:dyDescent="0.3">
      <c r="A1646" t="s">
        <v>107</v>
      </c>
      <c r="B1646" t="s">
        <v>43</v>
      </c>
      <c r="C1646" t="s">
        <v>14</v>
      </c>
      <c r="D1646" t="s">
        <v>15</v>
      </c>
      <c r="E1646">
        <v>134</v>
      </c>
      <c r="F1646" s="6">
        <v>4000</v>
      </c>
      <c r="G1646" s="6">
        <v>3000</v>
      </c>
      <c r="H1646" s="6">
        <v>536000</v>
      </c>
      <c r="I1646" s="5">
        <f t="shared" si="25"/>
        <v>134000</v>
      </c>
    </row>
    <row r="1647" spans="1:9" x14ac:dyDescent="0.3">
      <c r="A1647" t="s">
        <v>37</v>
      </c>
      <c r="B1647" t="s">
        <v>20</v>
      </c>
      <c r="C1647" t="s">
        <v>10</v>
      </c>
      <c r="D1647" t="s">
        <v>18</v>
      </c>
      <c r="E1647">
        <v>70</v>
      </c>
      <c r="F1647" s="6">
        <v>6000</v>
      </c>
      <c r="G1647" s="6">
        <v>4000</v>
      </c>
      <c r="H1647" s="6">
        <v>420000</v>
      </c>
      <c r="I1647" s="5">
        <f t="shared" si="25"/>
        <v>140000</v>
      </c>
    </row>
    <row r="1648" spans="1:9" x14ac:dyDescent="0.3">
      <c r="A1648" t="s">
        <v>456</v>
      </c>
      <c r="B1648" t="s">
        <v>58</v>
      </c>
      <c r="C1648" t="s">
        <v>10</v>
      </c>
      <c r="D1648" t="s">
        <v>34</v>
      </c>
      <c r="E1648">
        <v>116</v>
      </c>
      <c r="F1648" s="6">
        <v>10000</v>
      </c>
      <c r="G1648" s="6">
        <v>7000</v>
      </c>
      <c r="H1648" s="6">
        <v>1160000</v>
      </c>
      <c r="I1648" s="5">
        <f t="shared" si="25"/>
        <v>348000</v>
      </c>
    </row>
    <row r="1649" spans="1:9" x14ac:dyDescent="0.3">
      <c r="A1649" t="s">
        <v>159</v>
      </c>
      <c r="B1649" t="s">
        <v>36</v>
      </c>
      <c r="C1649" t="s">
        <v>17</v>
      </c>
      <c r="D1649" t="s">
        <v>11</v>
      </c>
      <c r="E1649">
        <v>102</v>
      </c>
      <c r="F1649" s="6">
        <v>3500</v>
      </c>
      <c r="G1649" s="6">
        <v>2500</v>
      </c>
      <c r="H1649" s="6">
        <v>357000</v>
      </c>
      <c r="I1649" s="5">
        <f t="shared" si="25"/>
        <v>102000</v>
      </c>
    </row>
    <row r="1650" spans="1:9" x14ac:dyDescent="0.3">
      <c r="A1650" t="s">
        <v>255</v>
      </c>
      <c r="B1650" t="s">
        <v>13</v>
      </c>
      <c r="C1650" t="s">
        <v>10</v>
      </c>
      <c r="D1650" t="s">
        <v>31</v>
      </c>
      <c r="E1650">
        <v>75</v>
      </c>
      <c r="F1650" s="6">
        <v>1000</v>
      </c>
      <c r="G1650" s="6">
        <v>700</v>
      </c>
      <c r="H1650" s="6">
        <v>75000</v>
      </c>
      <c r="I1650" s="5">
        <f t="shared" si="25"/>
        <v>22500</v>
      </c>
    </row>
    <row r="1651" spans="1:9" x14ac:dyDescent="0.3">
      <c r="A1651" t="s">
        <v>426</v>
      </c>
      <c r="B1651" t="s">
        <v>28</v>
      </c>
      <c r="C1651" t="s">
        <v>26</v>
      </c>
      <c r="D1651" t="s">
        <v>15</v>
      </c>
      <c r="E1651">
        <v>139</v>
      </c>
      <c r="F1651" s="6">
        <v>4000</v>
      </c>
      <c r="G1651" s="6">
        <v>3000</v>
      </c>
      <c r="H1651" s="6">
        <v>556000</v>
      </c>
      <c r="I1651" s="5">
        <f t="shared" si="25"/>
        <v>139000</v>
      </c>
    </row>
    <row r="1652" spans="1:9" x14ac:dyDescent="0.3">
      <c r="A1652" t="s">
        <v>358</v>
      </c>
      <c r="B1652" t="s">
        <v>36</v>
      </c>
      <c r="C1652" t="s">
        <v>17</v>
      </c>
      <c r="D1652" t="s">
        <v>18</v>
      </c>
      <c r="E1652">
        <v>122</v>
      </c>
      <c r="F1652" s="6">
        <v>6000</v>
      </c>
      <c r="G1652" s="6">
        <v>4000</v>
      </c>
      <c r="H1652" s="6">
        <v>732000</v>
      </c>
      <c r="I1652" s="5">
        <f t="shared" si="25"/>
        <v>244000</v>
      </c>
    </row>
    <row r="1653" spans="1:9" x14ac:dyDescent="0.3">
      <c r="A1653" t="s">
        <v>348</v>
      </c>
      <c r="B1653" t="s">
        <v>23</v>
      </c>
      <c r="C1653" t="s">
        <v>17</v>
      </c>
      <c r="D1653" t="s">
        <v>11</v>
      </c>
      <c r="E1653">
        <v>126</v>
      </c>
      <c r="F1653" s="6">
        <v>3500</v>
      </c>
      <c r="G1653" s="6">
        <v>2500</v>
      </c>
      <c r="H1653" s="6">
        <v>441000</v>
      </c>
      <c r="I1653" s="5">
        <f t="shared" si="25"/>
        <v>126000</v>
      </c>
    </row>
    <row r="1654" spans="1:9" x14ac:dyDescent="0.3">
      <c r="A1654" t="s">
        <v>66</v>
      </c>
      <c r="B1654" t="s">
        <v>58</v>
      </c>
      <c r="C1654" t="s">
        <v>10</v>
      </c>
      <c r="D1654" t="s">
        <v>31</v>
      </c>
      <c r="E1654">
        <v>53</v>
      </c>
      <c r="F1654" s="6">
        <v>1000</v>
      </c>
      <c r="G1654" s="6">
        <v>700</v>
      </c>
      <c r="H1654" s="6">
        <v>53000</v>
      </c>
      <c r="I1654" s="5">
        <f t="shared" si="25"/>
        <v>15900</v>
      </c>
    </row>
    <row r="1655" spans="1:9" x14ac:dyDescent="0.3">
      <c r="A1655" t="s">
        <v>279</v>
      </c>
      <c r="B1655" t="s">
        <v>23</v>
      </c>
      <c r="C1655" t="s">
        <v>10</v>
      </c>
      <c r="D1655" t="s">
        <v>21</v>
      </c>
      <c r="E1655">
        <v>56</v>
      </c>
      <c r="F1655" s="6">
        <v>600</v>
      </c>
      <c r="G1655" s="6">
        <v>400</v>
      </c>
      <c r="H1655" s="6">
        <v>33600</v>
      </c>
      <c r="I1655" s="5">
        <f t="shared" si="25"/>
        <v>11200</v>
      </c>
    </row>
    <row r="1656" spans="1:9" x14ac:dyDescent="0.3">
      <c r="A1656" t="s">
        <v>675</v>
      </c>
      <c r="B1656" t="s">
        <v>13</v>
      </c>
      <c r="C1656" t="s">
        <v>17</v>
      </c>
      <c r="D1656" t="s">
        <v>24</v>
      </c>
      <c r="E1656">
        <v>81</v>
      </c>
      <c r="F1656" s="6">
        <v>1200</v>
      </c>
      <c r="G1656" s="6">
        <v>800</v>
      </c>
      <c r="H1656" s="6">
        <v>97200</v>
      </c>
      <c r="I1656" s="5">
        <f t="shared" si="25"/>
        <v>32400</v>
      </c>
    </row>
    <row r="1657" spans="1:9" x14ac:dyDescent="0.3">
      <c r="A1657" t="s">
        <v>650</v>
      </c>
      <c r="B1657" t="s">
        <v>40</v>
      </c>
      <c r="C1657" t="s">
        <v>26</v>
      </c>
      <c r="D1657" t="s">
        <v>18</v>
      </c>
      <c r="E1657">
        <v>100</v>
      </c>
      <c r="F1657" s="6">
        <v>6000</v>
      </c>
      <c r="G1657" s="6">
        <v>4000</v>
      </c>
      <c r="H1657" s="6">
        <v>600000</v>
      </c>
      <c r="I1657" s="5">
        <f t="shared" si="25"/>
        <v>200000</v>
      </c>
    </row>
    <row r="1658" spans="1:9" x14ac:dyDescent="0.3">
      <c r="A1658" t="s">
        <v>676</v>
      </c>
      <c r="B1658" t="s">
        <v>58</v>
      </c>
      <c r="C1658" t="s">
        <v>10</v>
      </c>
      <c r="D1658" t="s">
        <v>21</v>
      </c>
      <c r="E1658">
        <v>112</v>
      </c>
      <c r="F1658" s="6">
        <v>600</v>
      </c>
      <c r="G1658" s="6">
        <v>400</v>
      </c>
      <c r="H1658" s="6">
        <v>67200</v>
      </c>
      <c r="I1658" s="5">
        <f t="shared" si="25"/>
        <v>22400</v>
      </c>
    </row>
    <row r="1659" spans="1:9" x14ac:dyDescent="0.3">
      <c r="A1659" t="s">
        <v>32</v>
      </c>
      <c r="B1659" t="s">
        <v>23</v>
      </c>
      <c r="C1659" t="s">
        <v>17</v>
      </c>
      <c r="D1659" t="s">
        <v>21</v>
      </c>
      <c r="E1659">
        <v>116</v>
      </c>
      <c r="F1659" s="6">
        <v>600</v>
      </c>
      <c r="G1659" s="6">
        <v>400</v>
      </c>
      <c r="H1659" s="6">
        <v>69600</v>
      </c>
      <c r="I1659" s="5">
        <f t="shared" si="25"/>
        <v>23200</v>
      </c>
    </row>
    <row r="1660" spans="1:9" x14ac:dyDescent="0.3">
      <c r="A1660" t="s">
        <v>255</v>
      </c>
      <c r="B1660" t="s">
        <v>40</v>
      </c>
      <c r="C1660" t="s">
        <v>10</v>
      </c>
      <c r="D1660" t="s">
        <v>34</v>
      </c>
      <c r="E1660">
        <v>123</v>
      </c>
      <c r="F1660" s="6">
        <v>10000</v>
      </c>
      <c r="G1660" s="6">
        <v>7000</v>
      </c>
      <c r="H1660" s="6">
        <v>1230000</v>
      </c>
      <c r="I1660" s="5">
        <f t="shared" si="25"/>
        <v>369000</v>
      </c>
    </row>
    <row r="1661" spans="1:9" x14ac:dyDescent="0.3">
      <c r="A1661" t="s">
        <v>677</v>
      </c>
      <c r="B1661" t="s">
        <v>23</v>
      </c>
      <c r="C1661" t="s">
        <v>17</v>
      </c>
      <c r="D1661" t="s">
        <v>18</v>
      </c>
      <c r="E1661">
        <v>129</v>
      </c>
      <c r="F1661" s="6">
        <v>6000</v>
      </c>
      <c r="G1661" s="6">
        <v>4000</v>
      </c>
      <c r="H1661" s="6">
        <v>774000</v>
      </c>
      <c r="I1661" s="5">
        <f t="shared" si="25"/>
        <v>258000</v>
      </c>
    </row>
    <row r="1662" spans="1:9" x14ac:dyDescent="0.3">
      <c r="A1662" t="s">
        <v>678</v>
      </c>
      <c r="B1662" t="s">
        <v>30</v>
      </c>
      <c r="C1662" t="s">
        <v>26</v>
      </c>
      <c r="D1662" t="s">
        <v>18</v>
      </c>
      <c r="E1662">
        <v>76</v>
      </c>
      <c r="F1662" s="6">
        <v>6000</v>
      </c>
      <c r="G1662" s="6">
        <v>4000</v>
      </c>
      <c r="H1662" s="6">
        <v>456000</v>
      </c>
      <c r="I1662" s="5">
        <f t="shared" si="25"/>
        <v>152000</v>
      </c>
    </row>
    <row r="1663" spans="1:9" x14ac:dyDescent="0.3">
      <c r="A1663" t="s">
        <v>494</v>
      </c>
      <c r="B1663" t="s">
        <v>13</v>
      </c>
      <c r="C1663" t="s">
        <v>14</v>
      </c>
      <c r="D1663" t="s">
        <v>34</v>
      </c>
      <c r="E1663">
        <v>94</v>
      </c>
      <c r="F1663" s="6">
        <v>10000</v>
      </c>
      <c r="G1663" s="6">
        <v>7000</v>
      </c>
      <c r="H1663" s="6">
        <v>940000</v>
      </c>
      <c r="I1663" s="5">
        <f t="shared" si="25"/>
        <v>282000</v>
      </c>
    </row>
    <row r="1664" spans="1:9" x14ac:dyDescent="0.3">
      <c r="A1664" t="s">
        <v>382</v>
      </c>
      <c r="B1664" t="s">
        <v>28</v>
      </c>
      <c r="C1664" t="s">
        <v>26</v>
      </c>
      <c r="D1664" t="s">
        <v>24</v>
      </c>
      <c r="E1664">
        <v>127</v>
      </c>
      <c r="F1664" s="6">
        <v>1200</v>
      </c>
      <c r="G1664" s="6">
        <v>800</v>
      </c>
      <c r="H1664" s="6">
        <v>152400</v>
      </c>
      <c r="I1664" s="5">
        <f t="shared" si="25"/>
        <v>50800</v>
      </c>
    </row>
    <row r="1665" spans="1:9" x14ac:dyDescent="0.3">
      <c r="A1665" t="s">
        <v>425</v>
      </c>
      <c r="B1665" t="s">
        <v>43</v>
      </c>
      <c r="C1665" t="s">
        <v>26</v>
      </c>
      <c r="D1665" t="s">
        <v>21</v>
      </c>
      <c r="E1665">
        <v>136</v>
      </c>
      <c r="F1665" s="6">
        <v>600</v>
      </c>
      <c r="G1665" s="6">
        <v>400</v>
      </c>
      <c r="H1665" s="6">
        <v>81600</v>
      </c>
      <c r="I1665" s="5">
        <f t="shared" si="25"/>
        <v>27200</v>
      </c>
    </row>
    <row r="1666" spans="1:9" x14ac:dyDescent="0.3">
      <c r="A1666" t="s">
        <v>626</v>
      </c>
      <c r="B1666" t="s">
        <v>40</v>
      </c>
      <c r="C1666" t="s">
        <v>14</v>
      </c>
      <c r="D1666" t="s">
        <v>11</v>
      </c>
      <c r="E1666">
        <v>70</v>
      </c>
      <c r="F1666" s="6">
        <v>3500</v>
      </c>
      <c r="G1666" s="6">
        <v>2500</v>
      </c>
      <c r="H1666" s="6">
        <v>245000</v>
      </c>
      <c r="I1666" s="5">
        <f t="shared" ref="I1666:I1729" si="26">H1666-(G1666*E1666)</f>
        <v>70000</v>
      </c>
    </row>
    <row r="1667" spans="1:9" x14ac:dyDescent="0.3">
      <c r="A1667" t="s">
        <v>600</v>
      </c>
      <c r="B1667" t="s">
        <v>30</v>
      </c>
      <c r="C1667" t="s">
        <v>10</v>
      </c>
      <c r="D1667" t="s">
        <v>24</v>
      </c>
      <c r="E1667">
        <v>90</v>
      </c>
      <c r="F1667" s="6">
        <v>1200</v>
      </c>
      <c r="G1667" s="6">
        <v>800</v>
      </c>
      <c r="H1667" s="6">
        <v>108000</v>
      </c>
      <c r="I1667" s="5">
        <f t="shared" si="26"/>
        <v>36000</v>
      </c>
    </row>
    <row r="1668" spans="1:9" x14ac:dyDescent="0.3">
      <c r="A1668" t="s">
        <v>514</v>
      </c>
      <c r="B1668" t="s">
        <v>40</v>
      </c>
      <c r="C1668" t="s">
        <v>10</v>
      </c>
      <c r="D1668" t="s">
        <v>15</v>
      </c>
      <c r="E1668">
        <v>96</v>
      </c>
      <c r="F1668" s="6">
        <v>4000</v>
      </c>
      <c r="G1668" s="6">
        <v>3000</v>
      </c>
      <c r="H1668" s="6">
        <v>384000</v>
      </c>
      <c r="I1668" s="5">
        <f t="shared" si="26"/>
        <v>96000</v>
      </c>
    </row>
    <row r="1669" spans="1:9" x14ac:dyDescent="0.3">
      <c r="A1669" t="s">
        <v>464</v>
      </c>
      <c r="B1669" t="s">
        <v>40</v>
      </c>
      <c r="C1669" t="s">
        <v>17</v>
      </c>
      <c r="D1669" t="s">
        <v>15</v>
      </c>
      <c r="E1669">
        <v>133</v>
      </c>
      <c r="F1669" s="6">
        <v>4000</v>
      </c>
      <c r="G1669" s="6">
        <v>3000</v>
      </c>
      <c r="H1669" s="6">
        <v>532000</v>
      </c>
      <c r="I1669" s="5">
        <f t="shared" si="26"/>
        <v>133000</v>
      </c>
    </row>
    <row r="1670" spans="1:9" x14ac:dyDescent="0.3">
      <c r="A1670" t="s">
        <v>112</v>
      </c>
      <c r="B1670" t="s">
        <v>9</v>
      </c>
      <c r="C1670" t="s">
        <v>26</v>
      </c>
      <c r="D1670" t="s">
        <v>15</v>
      </c>
      <c r="E1670">
        <v>62</v>
      </c>
      <c r="F1670" s="6">
        <v>4000</v>
      </c>
      <c r="G1670" s="6">
        <v>3000</v>
      </c>
      <c r="H1670" s="6">
        <v>248000</v>
      </c>
      <c r="I1670" s="5">
        <f t="shared" si="26"/>
        <v>62000</v>
      </c>
    </row>
    <row r="1671" spans="1:9" x14ac:dyDescent="0.3">
      <c r="A1671" t="s">
        <v>502</v>
      </c>
      <c r="B1671" t="s">
        <v>20</v>
      </c>
      <c r="C1671" t="s">
        <v>10</v>
      </c>
      <c r="D1671" t="s">
        <v>18</v>
      </c>
      <c r="E1671">
        <v>101</v>
      </c>
      <c r="F1671" s="6">
        <v>6000</v>
      </c>
      <c r="G1671" s="6">
        <v>4000</v>
      </c>
      <c r="H1671" s="6">
        <v>606000</v>
      </c>
      <c r="I1671" s="5">
        <f t="shared" si="26"/>
        <v>202000</v>
      </c>
    </row>
    <row r="1672" spans="1:9" x14ac:dyDescent="0.3">
      <c r="A1672" t="s">
        <v>129</v>
      </c>
      <c r="B1672" t="s">
        <v>20</v>
      </c>
      <c r="C1672" t="s">
        <v>17</v>
      </c>
      <c r="D1672" t="s">
        <v>24</v>
      </c>
      <c r="E1672">
        <v>95</v>
      </c>
      <c r="F1672" s="6">
        <v>1200</v>
      </c>
      <c r="G1672" s="6">
        <v>800</v>
      </c>
      <c r="H1672" s="6">
        <v>114000</v>
      </c>
      <c r="I1672" s="5">
        <f t="shared" si="26"/>
        <v>38000</v>
      </c>
    </row>
    <row r="1673" spans="1:9" x14ac:dyDescent="0.3">
      <c r="A1673" t="s">
        <v>679</v>
      </c>
      <c r="B1673" t="s">
        <v>43</v>
      </c>
      <c r="C1673" t="s">
        <v>10</v>
      </c>
      <c r="D1673" t="s">
        <v>11</v>
      </c>
      <c r="E1673">
        <v>106</v>
      </c>
      <c r="F1673" s="6">
        <v>3500</v>
      </c>
      <c r="G1673" s="6">
        <v>2500</v>
      </c>
      <c r="H1673" s="6">
        <v>371000</v>
      </c>
      <c r="I1673" s="5">
        <f t="shared" si="26"/>
        <v>106000</v>
      </c>
    </row>
    <row r="1674" spans="1:9" x14ac:dyDescent="0.3">
      <c r="A1674" t="s">
        <v>173</v>
      </c>
      <c r="B1674" t="s">
        <v>36</v>
      </c>
      <c r="C1674" t="s">
        <v>14</v>
      </c>
      <c r="D1674" t="s">
        <v>21</v>
      </c>
      <c r="E1674">
        <v>107</v>
      </c>
      <c r="F1674" s="6">
        <v>600</v>
      </c>
      <c r="G1674" s="6">
        <v>400</v>
      </c>
      <c r="H1674" s="6">
        <v>64200</v>
      </c>
      <c r="I1674" s="5">
        <f t="shared" si="26"/>
        <v>21400</v>
      </c>
    </row>
    <row r="1675" spans="1:9" x14ac:dyDescent="0.3">
      <c r="A1675" t="s">
        <v>76</v>
      </c>
      <c r="B1675" t="s">
        <v>20</v>
      </c>
      <c r="C1675" t="s">
        <v>10</v>
      </c>
      <c r="D1675" t="s">
        <v>21</v>
      </c>
      <c r="E1675">
        <v>86</v>
      </c>
      <c r="F1675" s="6">
        <v>600</v>
      </c>
      <c r="G1675" s="6">
        <v>400</v>
      </c>
      <c r="H1675" s="6">
        <v>51600</v>
      </c>
      <c r="I1675" s="5">
        <f t="shared" si="26"/>
        <v>17200</v>
      </c>
    </row>
    <row r="1676" spans="1:9" x14ac:dyDescent="0.3">
      <c r="A1676" t="s">
        <v>641</v>
      </c>
      <c r="B1676" t="s">
        <v>9</v>
      </c>
      <c r="C1676" t="s">
        <v>14</v>
      </c>
      <c r="D1676" t="s">
        <v>31</v>
      </c>
      <c r="E1676">
        <v>126</v>
      </c>
      <c r="F1676" s="6">
        <v>1000</v>
      </c>
      <c r="G1676" s="6">
        <v>700</v>
      </c>
      <c r="H1676" s="6">
        <v>126000</v>
      </c>
      <c r="I1676" s="5">
        <f t="shared" si="26"/>
        <v>37800</v>
      </c>
    </row>
    <row r="1677" spans="1:9" x14ac:dyDescent="0.3">
      <c r="A1677" t="s">
        <v>268</v>
      </c>
      <c r="B1677" t="s">
        <v>43</v>
      </c>
      <c r="C1677" t="s">
        <v>26</v>
      </c>
      <c r="D1677" t="s">
        <v>34</v>
      </c>
      <c r="E1677">
        <v>144</v>
      </c>
      <c r="F1677" s="6">
        <v>10000</v>
      </c>
      <c r="G1677" s="6">
        <v>7000</v>
      </c>
      <c r="H1677" s="6">
        <v>1440000</v>
      </c>
      <c r="I1677" s="5">
        <f t="shared" si="26"/>
        <v>432000</v>
      </c>
    </row>
    <row r="1678" spans="1:9" x14ac:dyDescent="0.3">
      <c r="A1678" t="s">
        <v>217</v>
      </c>
      <c r="B1678" t="s">
        <v>36</v>
      </c>
      <c r="C1678" t="s">
        <v>14</v>
      </c>
      <c r="D1678" t="s">
        <v>11</v>
      </c>
      <c r="E1678">
        <v>54</v>
      </c>
      <c r="F1678" s="6">
        <v>3500</v>
      </c>
      <c r="G1678" s="6">
        <v>2500</v>
      </c>
      <c r="H1678" s="6">
        <v>189000</v>
      </c>
      <c r="I1678" s="5">
        <f t="shared" si="26"/>
        <v>54000</v>
      </c>
    </row>
    <row r="1679" spans="1:9" x14ac:dyDescent="0.3">
      <c r="A1679" t="s">
        <v>467</v>
      </c>
      <c r="B1679" t="s">
        <v>13</v>
      </c>
      <c r="C1679" t="s">
        <v>14</v>
      </c>
      <c r="D1679" t="s">
        <v>18</v>
      </c>
      <c r="E1679">
        <v>74</v>
      </c>
      <c r="F1679" s="6">
        <v>6000</v>
      </c>
      <c r="G1679" s="6">
        <v>4000</v>
      </c>
      <c r="H1679" s="6">
        <v>444000</v>
      </c>
      <c r="I1679" s="5">
        <f t="shared" si="26"/>
        <v>148000</v>
      </c>
    </row>
    <row r="1680" spans="1:9" x14ac:dyDescent="0.3">
      <c r="A1680" t="s">
        <v>277</v>
      </c>
      <c r="B1680" t="s">
        <v>9</v>
      </c>
      <c r="C1680" t="s">
        <v>17</v>
      </c>
      <c r="D1680" t="s">
        <v>18</v>
      </c>
      <c r="E1680">
        <v>81</v>
      </c>
      <c r="F1680" s="6">
        <v>6000</v>
      </c>
      <c r="G1680" s="6">
        <v>4000</v>
      </c>
      <c r="H1680" s="6">
        <v>486000</v>
      </c>
      <c r="I1680" s="5">
        <f t="shared" si="26"/>
        <v>162000</v>
      </c>
    </row>
    <row r="1681" spans="1:9" x14ac:dyDescent="0.3">
      <c r="A1681" t="s">
        <v>286</v>
      </c>
      <c r="B1681" t="s">
        <v>36</v>
      </c>
      <c r="C1681" t="s">
        <v>14</v>
      </c>
      <c r="D1681" t="s">
        <v>18</v>
      </c>
      <c r="E1681">
        <v>88</v>
      </c>
      <c r="F1681" s="6">
        <v>6000</v>
      </c>
      <c r="G1681" s="6">
        <v>4000</v>
      </c>
      <c r="H1681" s="6">
        <v>528000</v>
      </c>
      <c r="I1681" s="5">
        <f t="shared" si="26"/>
        <v>176000</v>
      </c>
    </row>
    <row r="1682" spans="1:9" x14ac:dyDescent="0.3">
      <c r="A1682" t="s">
        <v>278</v>
      </c>
      <c r="B1682" t="s">
        <v>58</v>
      </c>
      <c r="C1682" t="s">
        <v>17</v>
      </c>
      <c r="D1682" t="s">
        <v>15</v>
      </c>
      <c r="E1682">
        <v>63</v>
      </c>
      <c r="F1682" s="6">
        <v>4000</v>
      </c>
      <c r="G1682" s="6">
        <v>3000</v>
      </c>
      <c r="H1682" s="6">
        <v>252000</v>
      </c>
      <c r="I1682" s="5">
        <f t="shared" si="26"/>
        <v>63000</v>
      </c>
    </row>
    <row r="1683" spans="1:9" x14ac:dyDescent="0.3">
      <c r="A1683" t="s">
        <v>587</v>
      </c>
      <c r="B1683" t="s">
        <v>13</v>
      </c>
      <c r="C1683" t="s">
        <v>17</v>
      </c>
      <c r="D1683" t="s">
        <v>18</v>
      </c>
      <c r="E1683">
        <v>125</v>
      </c>
      <c r="F1683" s="6">
        <v>6000</v>
      </c>
      <c r="G1683" s="6">
        <v>4000</v>
      </c>
      <c r="H1683" s="6">
        <v>750000</v>
      </c>
      <c r="I1683" s="5">
        <f t="shared" si="26"/>
        <v>250000</v>
      </c>
    </row>
    <row r="1684" spans="1:9" x14ac:dyDescent="0.3">
      <c r="A1684" t="s">
        <v>436</v>
      </c>
      <c r="B1684" t="s">
        <v>58</v>
      </c>
      <c r="C1684" t="s">
        <v>17</v>
      </c>
      <c r="D1684" t="s">
        <v>15</v>
      </c>
      <c r="E1684">
        <v>97</v>
      </c>
      <c r="F1684" s="6">
        <v>4000</v>
      </c>
      <c r="G1684" s="6">
        <v>3000</v>
      </c>
      <c r="H1684" s="6">
        <v>388000</v>
      </c>
      <c r="I1684" s="5">
        <f t="shared" si="26"/>
        <v>97000</v>
      </c>
    </row>
    <row r="1685" spans="1:9" x14ac:dyDescent="0.3">
      <c r="A1685" t="s">
        <v>383</v>
      </c>
      <c r="B1685" t="s">
        <v>58</v>
      </c>
      <c r="C1685" t="s">
        <v>14</v>
      </c>
      <c r="D1685" t="s">
        <v>21</v>
      </c>
      <c r="E1685">
        <v>128</v>
      </c>
      <c r="F1685" s="6">
        <v>600</v>
      </c>
      <c r="G1685" s="6">
        <v>400</v>
      </c>
      <c r="H1685" s="6">
        <v>76800</v>
      </c>
      <c r="I1685" s="5">
        <f t="shared" si="26"/>
        <v>25600</v>
      </c>
    </row>
    <row r="1686" spans="1:9" x14ac:dyDescent="0.3">
      <c r="A1686" t="s">
        <v>576</v>
      </c>
      <c r="B1686" t="s">
        <v>40</v>
      </c>
      <c r="C1686" t="s">
        <v>10</v>
      </c>
      <c r="D1686" t="s">
        <v>34</v>
      </c>
      <c r="E1686">
        <v>90</v>
      </c>
      <c r="F1686" s="6">
        <v>10000</v>
      </c>
      <c r="G1686" s="6">
        <v>7000</v>
      </c>
      <c r="H1686" s="6">
        <v>900000</v>
      </c>
      <c r="I1686" s="5">
        <f t="shared" si="26"/>
        <v>270000</v>
      </c>
    </row>
    <row r="1687" spans="1:9" x14ac:dyDescent="0.3">
      <c r="A1687" t="s">
        <v>427</v>
      </c>
      <c r="B1687" t="s">
        <v>23</v>
      </c>
      <c r="C1687" t="s">
        <v>26</v>
      </c>
      <c r="D1687" t="s">
        <v>21</v>
      </c>
      <c r="E1687">
        <v>60</v>
      </c>
      <c r="F1687" s="6">
        <v>600</v>
      </c>
      <c r="G1687" s="6">
        <v>400</v>
      </c>
      <c r="H1687" s="6">
        <v>36000</v>
      </c>
      <c r="I1687" s="5">
        <f t="shared" si="26"/>
        <v>12000</v>
      </c>
    </row>
    <row r="1688" spans="1:9" x14ac:dyDescent="0.3">
      <c r="A1688" t="s">
        <v>312</v>
      </c>
      <c r="B1688" t="s">
        <v>43</v>
      </c>
      <c r="C1688" t="s">
        <v>26</v>
      </c>
      <c r="D1688" t="s">
        <v>11</v>
      </c>
      <c r="E1688">
        <v>85</v>
      </c>
      <c r="F1688" s="6">
        <v>3500</v>
      </c>
      <c r="G1688" s="6">
        <v>2500</v>
      </c>
      <c r="H1688" s="6">
        <v>297500</v>
      </c>
      <c r="I1688" s="5">
        <f t="shared" si="26"/>
        <v>85000</v>
      </c>
    </row>
    <row r="1689" spans="1:9" x14ac:dyDescent="0.3">
      <c r="A1689" t="s">
        <v>419</v>
      </c>
      <c r="B1689" t="s">
        <v>20</v>
      </c>
      <c r="C1689" t="s">
        <v>17</v>
      </c>
      <c r="D1689" t="s">
        <v>21</v>
      </c>
      <c r="E1689">
        <v>71</v>
      </c>
      <c r="F1689" s="6">
        <v>600</v>
      </c>
      <c r="G1689" s="6">
        <v>400</v>
      </c>
      <c r="H1689" s="6">
        <v>42600</v>
      </c>
      <c r="I1689" s="5">
        <f t="shared" si="26"/>
        <v>14200</v>
      </c>
    </row>
    <row r="1690" spans="1:9" x14ac:dyDescent="0.3">
      <c r="A1690" t="s">
        <v>661</v>
      </c>
      <c r="B1690" t="s">
        <v>13</v>
      </c>
      <c r="C1690" t="s">
        <v>26</v>
      </c>
      <c r="D1690" t="s">
        <v>21</v>
      </c>
      <c r="E1690">
        <v>63</v>
      </c>
      <c r="F1690" s="6">
        <v>600</v>
      </c>
      <c r="G1690" s="6">
        <v>400</v>
      </c>
      <c r="H1690" s="6">
        <v>37800</v>
      </c>
      <c r="I1690" s="5">
        <f t="shared" si="26"/>
        <v>12600</v>
      </c>
    </row>
    <row r="1691" spans="1:9" x14ac:dyDescent="0.3">
      <c r="A1691" t="s">
        <v>103</v>
      </c>
      <c r="B1691" t="s">
        <v>13</v>
      </c>
      <c r="C1691" t="s">
        <v>26</v>
      </c>
      <c r="D1691" t="s">
        <v>21</v>
      </c>
      <c r="E1691">
        <v>150</v>
      </c>
      <c r="F1691" s="6">
        <v>600</v>
      </c>
      <c r="G1691" s="6">
        <v>400</v>
      </c>
      <c r="H1691" s="6">
        <v>90000</v>
      </c>
      <c r="I1691" s="5">
        <f t="shared" si="26"/>
        <v>30000</v>
      </c>
    </row>
    <row r="1692" spans="1:9" x14ac:dyDescent="0.3">
      <c r="A1692" t="s">
        <v>590</v>
      </c>
      <c r="B1692" t="s">
        <v>30</v>
      </c>
      <c r="C1692" t="s">
        <v>14</v>
      </c>
      <c r="D1692" t="s">
        <v>31</v>
      </c>
      <c r="E1692">
        <v>60</v>
      </c>
      <c r="F1692" s="6">
        <v>1000</v>
      </c>
      <c r="G1692" s="6">
        <v>700</v>
      </c>
      <c r="H1692" s="6">
        <v>60000</v>
      </c>
      <c r="I1692" s="5">
        <f t="shared" si="26"/>
        <v>18000</v>
      </c>
    </row>
    <row r="1693" spans="1:9" x14ac:dyDescent="0.3">
      <c r="A1693" t="s">
        <v>245</v>
      </c>
      <c r="B1693" t="s">
        <v>23</v>
      </c>
      <c r="C1693" t="s">
        <v>10</v>
      </c>
      <c r="D1693" t="s">
        <v>15</v>
      </c>
      <c r="E1693">
        <v>97</v>
      </c>
      <c r="F1693" s="6">
        <v>4000</v>
      </c>
      <c r="G1693" s="6">
        <v>3000</v>
      </c>
      <c r="H1693" s="6">
        <v>388000</v>
      </c>
      <c r="I1693" s="5">
        <f t="shared" si="26"/>
        <v>97000</v>
      </c>
    </row>
    <row r="1694" spans="1:9" x14ac:dyDescent="0.3">
      <c r="A1694" t="s">
        <v>630</v>
      </c>
      <c r="B1694" t="s">
        <v>36</v>
      </c>
      <c r="C1694" t="s">
        <v>10</v>
      </c>
      <c r="D1694" t="s">
        <v>21</v>
      </c>
      <c r="E1694">
        <v>115</v>
      </c>
      <c r="F1694" s="6">
        <v>600</v>
      </c>
      <c r="G1694" s="6">
        <v>400</v>
      </c>
      <c r="H1694" s="6">
        <v>69000</v>
      </c>
      <c r="I1694" s="5">
        <f t="shared" si="26"/>
        <v>23000</v>
      </c>
    </row>
    <row r="1695" spans="1:9" x14ac:dyDescent="0.3">
      <c r="A1695" t="s">
        <v>345</v>
      </c>
      <c r="B1695" t="s">
        <v>58</v>
      </c>
      <c r="C1695" t="s">
        <v>26</v>
      </c>
      <c r="D1695" t="s">
        <v>21</v>
      </c>
      <c r="E1695">
        <v>147</v>
      </c>
      <c r="F1695" s="6">
        <v>600</v>
      </c>
      <c r="G1695" s="6">
        <v>400</v>
      </c>
      <c r="H1695" s="6">
        <v>88200</v>
      </c>
      <c r="I1695" s="5">
        <f t="shared" si="26"/>
        <v>29400</v>
      </c>
    </row>
    <row r="1696" spans="1:9" x14ac:dyDescent="0.3">
      <c r="A1696" t="s">
        <v>439</v>
      </c>
      <c r="B1696" t="s">
        <v>13</v>
      </c>
      <c r="C1696" t="s">
        <v>14</v>
      </c>
      <c r="D1696" t="s">
        <v>31</v>
      </c>
      <c r="E1696">
        <v>84</v>
      </c>
      <c r="F1696" s="6">
        <v>1000</v>
      </c>
      <c r="G1696" s="6">
        <v>700</v>
      </c>
      <c r="H1696" s="6">
        <v>84000</v>
      </c>
      <c r="I1696" s="5">
        <f t="shared" si="26"/>
        <v>25200</v>
      </c>
    </row>
    <row r="1697" spans="1:9" x14ac:dyDescent="0.3">
      <c r="A1697" t="s">
        <v>358</v>
      </c>
      <c r="B1697" t="s">
        <v>23</v>
      </c>
      <c r="C1697" t="s">
        <v>10</v>
      </c>
      <c r="D1697" t="s">
        <v>11</v>
      </c>
      <c r="E1697">
        <v>108</v>
      </c>
      <c r="F1697" s="6">
        <v>3500</v>
      </c>
      <c r="G1697" s="6">
        <v>2500</v>
      </c>
      <c r="H1697" s="6">
        <v>378000</v>
      </c>
      <c r="I1697" s="5">
        <f t="shared" si="26"/>
        <v>108000</v>
      </c>
    </row>
    <row r="1698" spans="1:9" x14ac:dyDescent="0.3">
      <c r="A1698" t="s">
        <v>212</v>
      </c>
      <c r="B1698" t="s">
        <v>20</v>
      </c>
      <c r="C1698" t="s">
        <v>26</v>
      </c>
      <c r="D1698" t="s">
        <v>15</v>
      </c>
      <c r="E1698">
        <v>95</v>
      </c>
      <c r="F1698" s="6">
        <v>4000</v>
      </c>
      <c r="G1698" s="6">
        <v>3000</v>
      </c>
      <c r="H1698" s="6">
        <v>380000</v>
      </c>
      <c r="I1698" s="5">
        <f t="shared" si="26"/>
        <v>95000</v>
      </c>
    </row>
    <row r="1699" spans="1:9" x14ac:dyDescent="0.3">
      <c r="A1699" t="s">
        <v>556</v>
      </c>
      <c r="B1699" t="s">
        <v>58</v>
      </c>
      <c r="C1699" t="s">
        <v>10</v>
      </c>
      <c r="D1699" t="s">
        <v>18</v>
      </c>
      <c r="E1699">
        <v>111</v>
      </c>
      <c r="F1699" s="6">
        <v>6000</v>
      </c>
      <c r="G1699" s="6">
        <v>4000</v>
      </c>
      <c r="H1699" s="6">
        <v>666000</v>
      </c>
      <c r="I1699" s="5">
        <f t="shared" si="26"/>
        <v>222000</v>
      </c>
    </row>
    <row r="1700" spans="1:9" x14ac:dyDescent="0.3">
      <c r="A1700" t="s">
        <v>646</v>
      </c>
      <c r="B1700" t="s">
        <v>40</v>
      </c>
      <c r="C1700" t="s">
        <v>10</v>
      </c>
      <c r="D1700" t="s">
        <v>24</v>
      </c>
      <c r="E1700">
        <v>66</v>
      </c>
      <c r="F1700" s="6">
        <v>1200</v>
      </c>
      <c r="G1700" s="6">
        <v>800</v>
      </c>
      <c r="H1700" s="6">
        <v>79200</v>
      </c>
      <c r="I1700" s="5">
        <f t="shared" si="26"/>
        <v>26400</v>
      </c>
    </row>
    <row r="1701" spans="1:9" x14ac:dyDescent="0.3">
      <c r="A1701" t="s">
        <v>193</v>
      </c>
      <c r="B1701" t="s">
        <v>58</v>
      </c>
      <c r="C1701" t="s">
        <v>17</v>
      </c>
      <c r="D1701" t="s">
        <v>11</v>
      </c>
      <c r="E1701">
        <v>64</v>
      </c>
      <c r="F1701" s="6">
        <v>3500</v>
      </c>
      <c r="G1701" s="6">
        <v>2500</v>
      </c>
      <c r="H1701" s="6">
        <v>224000</v>
      </c>
      <c r="I1701" s="5">
        <f t="shared" si="26"/>
        <v>64000</v>
      </c>
    </row>
    <row r="1702" spans="1:9" x14ac:dyDescent="0.3">
      <c r="A1702" t="s">
        <v>365</v>
      </c>
      <c r="B1702" t="s">
        <v>43</v>
      </c>
      <c r="C1702" t="s">
        <v>26</v>
      </c>
      <c r="D1702" t="s">
        <v>34</v>
      </c>
      <c r="E1702">
        <v>113</v>
      </c>
      <c r="F1702" s="6">
        <v>10000</v>
      </c>
      <c r="G1702" s="6">
        <v>7000</v>
      </c>
      <c r="H1702" s="6">
        <v>1130000</v>
      </c>
      <c r="I1702" s="5">
        <f t="shared" si="26"/>
        <v>339000</v>
      </c>
    </row>
    <row r="1703" spans="1:9" x14ac:dyDescent="0.3">
      <c r="A1703" t="s">
        <v>84</v>
      </c>
      <c r="B1703" t="s">
        <v>43</v>
      </c>
      <c r="C1703" t="s">
        <v>14</v>
      </c>
      <c r="D1703" t="s">
        <v>11</v>
      </c>
      <c r="E1703">
        <v>133</v>
      </c>
      <c r="F1703" s="6">
        <v>3500</v>
      </c>
      <c r="G1703" s="6">
        <v>2500</v>
      </c>
      <c r="H1703" s="6">
        <v>465500</v>
      </c>
      <c r="I1703" s="5">
        <f t="shared" si="26"/>
        <v>133000</v>
      </c>
    </row>
    <row r="1704" spans="1:9" x14ac:dyDescent="0.3">
      <c r="A1704" t="s">
        <v>231</v>
      </c>
      <c r="B1704" t="s">
        <v>30</v>
      </c>
      <c r="C1704" t="s">
        <v>10</v>
      </c>
      <c r="D1704" t="s">
        <v>31</v>
      </c>
      <c r="E1704">
        <v>104</v>
      </c>
      <c r="F1704" s="6">
        <v>1000</v>
      </c>
      <c r="G1704" s="6">
        <v>700</v>
      </c>
      <c r="H1704" s="6">
        <v>104000</v>
      </c>
      <c r="I1704" s="5">
        <f t="shared" si="26"/>
        <v>31200</v>
      </c>
    </row>
    <row r="1705" spans="1:9" x14ac:dyDescent="0.3">
      <c r="A1705" t="s">
        <v>680</v>
      </c>
      <c r="B1705" t="s">
        <v>43</v>
      </c>
      <c r="C1705" t="s">
        <v>14</v>
      </c>
      <c r="D1705" t="s">
        <v>18</v>
      </c>
      <c r="E1705">
        <v>150</v>
      </c>
      <c r="F1705" s="6">
        <v>6000</v>
      </c>
      <c r="G1705" s="6">
        <v>4000</v>
      </c>
      <c r="H1705" s="6">
        <v>900000</v>
      </c>
      <c r="I1705" s="5">
        <f t="shared" si="26"/>
        <v>300000</v>
      </c>
    </row>
    <row r="1706" spans="1:9" x14ac:dyDescent="0.3">
      <c r="A1706" t="s">
        <v>207</v>
      </c>
      <c r="B1706" t="s">
        <v>28</v>
      </c>
      <c r="C1706" t="s">
        <v>14</v>
      </c>
      <c r="D1706" t="s">
        <v>15</v>
      </c>
      <c r="E1706">
        <v>139</v>
      </c>
      <c r="F1706" s="6">
        <v>4000</v>
      </c>
      <c r="G1706" s="6">
        <v>3000</v>
      </c>
      <c r="H1706" s="6">
        <v>556000</v>
      </c>
      <c r="I1706" s="5">
        <f t="shared" si="26"/>
        <v>139000</v>
      </c>
    </row>
    <row r="1707" spans="1:9" x14ac:dyDescent="0.3">
      <c r="A1707" t="s">
        <v>460</v>
      </c>
      <c r="B1707" t="s">
        <v>13</v>
      </c>
      <c r="C1707" t="s">
        <v>26</v>
      </c>
      <c r="D1707" t="s">
        <v>24</v>
      </c>
      <c r="E1707">
        <v>103</v>
      </c>
      <c r="F1707" s="6">
        <v>1200</v>
      </c>
      <c r="G1707" s="6">
        <v>800</v>
      </c>
      <c r="H1707" s="6">
        <v>123600</v>
      </c>
      <c r="I1707" s="5">
        <f t="shared" si="26"/>
        <v>41200</v>
      </c>
    </row>
    <row r="1708" spans="1:9" x14ac:dyDescent="0.3">
      <c r="A1708" t="s">
        <v>551</v>
      </c>
      <c r="B1708" t="s">
        <v>30</v>
      </c>
      <c r="C1708" t="s">
        <v>14</v>
      </c>
      <c r="D1708" t="s">
        <v>24</v>
      </c>
      <c r="E1708">
        <v>82</v>
      </c>
      <c r="F1708" s="6">
        <v>1200</v>
      </c>
      <c r="G1708" s="6">
        <v>800</v>
      </c>
      <c r="H1708" s="6">
        <v>98400</v>
      </c>
      <c r="I1708" s="5">
        <f t="shared" si="26"/>
        <v>32800</v>
      </c>
    </row>
    <row r="1709" spans="1:9" x14ac:dyDescent="0.3">
      <c r="A1709" t="s">
        <v>681</v>
      </c>
      <c r="B1709" t="s">
        <v>40</v>
      </c>
      <c r="C1709" t="s">
        <v>17</v>
      </c>
      <c r="D1709" t="s">
        <v>11</v>
      </c>
      <c r="E1709">
        <v>92</v>
      </c>
      <c r="F1709" s="6">
        <v>3500</v>
      </c>
      <c r="G1709" s="6">
        <v>2500</v>
      </c>
      <c r="H1709" s="6">
        <v>322000</v>
      </c>
      <c r="I1709" s="5">
        <f t="shared" si="26"/>
        <v>92000</v>
      </c>
    </row>
    <row r="1710" spans="1:9" x14ac:dyDescent="0.3">
      <c r="A1710" t="s">
        <v>657</v>
      </c>
      <c r="B1710" t="s">
        <v>58</v>
      </c>
      <c r="C1710" t="s">
        <v>14</v>
      </c>
      <c r="D1710" t="s">
        <v>11</v>
      </c>
      <c r="E1710">
        <v>143</v>
      </c>
      <c r="F1710" s="6">
        <v>3500</v>
      </c>
      <c r="G1710" s="6">
        <v>2500</v>
      </c>
      <c r="H1710" s="6">
        <v>500500</v>
      </c>
      <c r="I1710" s="5">
        <f t="shared" si="26"/>
        <v>143000</v>
      </c>
    </row>
    <row r="1711" spans="1:9" x14ac:dyDescent="0.3">
      <c r="A1711" t="s">
        <v>459</v>
      </c>
      <c r="B1711" t="s">
        <v>36</v>
      </c>
      <c r="C1711" t="s">
        <v>26</v>
      </c>
      <c r="D1711" t="s">
        <v>31</v>
      </c>
      <c r="E1711">
        <v>98</v>
      </c>
      <c r="F1711" s="6">
        <v>1000</v>
      </c>
      <c r="G1711" s="6">
        <v>700</v>
      </c>
      <c r="H1711" s="6">
        <v>98000</v>
      </c>
      <c r="I1711" s="5">
        <f t="shared" si="26"/>
        <v>29400</v>
      </c>
    </row>
    <row r="1712" spans="1:9" x14ac:dyDescent="0.3">
      <c r="A1712" t="s">
        <v>184</v>
      </c>
      <c r="B1712" t="s">
        <v>58</v>
      </c>
      <c r="C1712" t="s">
        <v>14</v>
      </c>
      <c r="D1712" t="s">
        <v>34</v>
      </c>
      <c r="E1712">
        <v>75</v>
      </c>
      <c r="F1712" s="6">
        <v>10000</v>
      </c>
      <c r="G1712" s="6">
        <v>7000</v>
      </c>
      <c r="H1712" s="6">
        <v>750000</v>
      </c>
      <c r="I1712" s="5">
        <f t="shared" si="26"/>
        <v>225000</v>
      </c>
    </row>
    <row r="1713" spans="1:9" x14ac:dyDescent="0.3">
      <c r="A1713" t="s">
        <v>440</v>
      </c>
      <c r="B1713" t="s">
        <v>58</v>
      </c>
      <c r="C1713" t="s">
        <v>26</v>
      </c>
      <c r="D1713" t="s">
        <v>34</v>
      </c>
      <c r="E1713">
        <v>112</v>
      </c>
      <c r="F1713" s="6">
        <v>10000</v>
      </c>
      <c r="G1713" s="6">
        <v>7000</v>
      </c>
      <c r="H1713" s="6">
        <v>1120000</v>
      </c>
      <c r="I1713" s="5">
        <f t="shared" si="26"/>
        <v>336000</v>
      </c>
    </row>
    <row r="1714" spans="1:9" x14ac:dyDescent="0.3">
      <c r="A1714" t="s">
        <v>562</v>
      </c>
      <c r="B1714" t="s">
        <v>28</v>
      </c>
      <c r="C1714" t="s">
        <v>17</v>
      </c>
      <c r="D1714" t="s">
        <v>34</v>
      </c>
      <c r="E1714">
        <v>90</v>
      </c>
      <c r="F1714" s="6">
        <v>10000</v>
      </c>
      <c r="G1714" s="6">
        <v>7000</v>
      </c>
      <c r="H1714" s="6">
        <v>900000</v>
      </c>
      <c r="I1714" s="5">
        <f t="shared" si="26"/>
        <v>270000</v>
      </c>
    </row>
    <row r="1715" spans="1:9" x14ac:dyDescent="0.3">
      <c r="A1715" t="s">
        <v>244</v>
      </c>
      <c r="B1715" t="s">
        <v>9</v>
      </c>
      <c r="C1715" t="s">
        <v>10</v>
      </c>
      <c r="D1715" t="s">
        <v>31</v>
      </c>
      <c r="E1715">
        <v>89</v>
      </c>
      <c r="F1715" s="6">
        <v>1000</v>
      </c>
      <c r="G1715" s="6">
        <v>700</v>
      </c>
      <c r="H1715" s="6">
        <v>89000</v>
      </c>
      <c r="I1715" s="5">
        <f t="shared" si="26"/>
        <v>26700</v>
      </c>
    </row>
    <row r="1716" spans="1:9" x14ac:dyDescent="0.3">
      <c r="A1716" t="s">
        <v>430</v>
      </c>
      <c r="B1716" t="s">
        <v>58</v>
      </c>
      <c r="C1716" t="s">
        <v>26</v>
      </c>
      <c r="D1716" t="s">
        <v>15</v>
      </c>
      <c r="E1716">
        <v>68</v>
      </c>
      <c r="F1716" s="6">
        <v>4000</v>
      </c>
      <c r="G1716" s="6">
        <v>3000</v>
      </c>
      <c r="H1716" s="6">
        <v>272000</v>
      </c>
      <c r="I1716" s="5">
        <f t="shared" si="26"/>
        <v>68000</v>
      </c>
    </row>
    <row r="1717" spans="1:9" x14ac:dyDescent="0.3">
      <c r="A1717" t="s">
        <v>648</v>
      </c>
      <c r="B1717" t="s">
        <v>23</v>
      </c>
      <c r="C1717" t="s">
        <v>14</v>
      </c>
      <c r="D1717" t="s">
        <v>11</v>
      </c>
      <c r="E1717">
        <v>55</v>
      </c>
      <c r="F1717" s="6">
        <v>3500</v>
      </c>
      <c r="G1717" s="6">
        <v>2500</v>
      </c>
      <c r="H1717" s="6">
        <v>192500</v>
      </c>
      <c r="I1717" s="5">
        <f t="shared" si="26"/>
        <v>55000</v>
      </c>
    </row>
    <row r="1718" spans="1:9" x14ac:dyDescent="0.3">
      <c r="A1718" t="s">
        <v>310</v>
      </c>
      <c r="B1718" t="s">
        <v>43</v>
      </c>
      <c r="C1718" t="s">
        <v>10</v>
      </c>
      <c r="D1718" t="s">
        <v>31</v>
      </c>
      <c r="E1718">
        <v>99</v>
      </c>
      <c r="F1718" s="6">
        <v>1000</v>
      </c>
      <c r="G1718" s="6">
        <v>700</v>
      </c>
      <c r="H1718" s="6">
        <v>99000</v>
      </c>
      <c r="I1718" s="5">
        <f t="shared" si="26"/>
        <v>29700</v>
      </c>
    </row>
    <row r="1719" spans="1:9" x14ac:dyDescent="0.3">
      <c r="A1719" t="s">
        <v>242</v>
      </c>
      <c r="B1719" t="s">
        <v>36</v>
      </c>
      <c r="C1719" t="s">
        <v>14</v>
      </c>
      <c r="D1719" t="s">
        <v>11</v>
      </c>
      <c r="E1719">
        <v>127</v>
      </c>
      <c r="F1719" s="6">
        <v>3500</v>
      </c>
      <c r="G1719" s="6">
        <v>2500</v>
      </c>
      <c r="H1719" s="6">
        <v>444500</v>
      </c>
      <c r="I1719" s="5">
        <f t="shared" si="26"/>
        <v>127000</v>
      </c>
    </row>
    <row r="1720" spans="1:9" x14ac:dyDescent="0.3">
      <c r="A1720" t="s">
        <v>41</v>
      </c>
      <c r="B1720" t="s">
        <v>13</v>
      </c>
      <c r="C1720" t="s">
        <v>10</v>
      </c>
      <c r="D1720" t="s">
        <v>31</v>
      </c>
      <c r="E1720">
        <v>95</v>
      </c>
      <c r="F1720" s="6">
        <v>1000</v>
      </c>
      <c r="G1720" s="6">
        <v>700</v>
      </c>
      <c r="H1720" s="6">
        <v>95000</v>
      </c>
      <c r="I1720" s="5">
        <f t="shared" si="26"/>
        <v>28500</v>
      </c>
    </row>
    <row r="1721" spans="1:9" x14ac:dyDescent="0.3">
      <c r="A1721" t="s">
        <v>546</v>
      </c>
      <c r="B1721" t="s">
        <v>23</v>
      </c>
      <c r="C1721" t="s">
        <v>10</v>
      </c>
      <c r="D1721" t="s">
        <v>24</v>
      </c>
      <c r="E1721">
        <v>87</v>
      </c>
      <c r="F1721" s="6">
        <v>1200</v>
      </c>
      <c r="G1721" s="6">
        <v>800</v>
      </c>
      <c r="H1721" s="6">
        <v>104400</v>
      </c>
      <c r="I1721" s="5">
        <f t="shared" si="26"/>
        <v>34800</v>
      </c>
    </row>
    <row r="1722" spans="1:9" x14ac:dyDescent="0.3">
      <c r="A1722" t="s">
        <v>486</v>
      </c>
      <c r="B1722" t="s">
        <v>20</v>
      </c>
      <c r="C1722" t="s">
        <v>26</v>
      </c>
      <c r="D1722" t="s">
        <v>21</v>
      </c>
      <c r="E1722">
        <v>137</v>
      </c>
      <c r="F1722" s="6">
        <v>600</v>
      </c>
      <c r="G1722" s="6">
        <v>400</v>
      </c>
      <c r="H1722" s="6">
        <v>82200</v>
      </c>
      <c r="I1722" s="5">
        <f t="shared" si="26"/>
        <v>27400</v>
      </c>
    </row>
    <row r="1723" spans="1:9" x14ac:dyDescent="0.3">
      <c r="A1723" t="s">
        <v>248</v>
      </c>
      <c r="B1723" t="s">
        <v>20</v>
      </c>
      <c r="C1723" t="s">
        <v>14</v>
      </c>
      <c r="D1723" t="s">
        <v>21</v>
      </c>
      <c r="E1723">
        <v>146</v>
      </c>
      <c r="F1723" s="6">
        <v>600</v>
      </c>
      <c r="G1723" s="6">
        <v>400</v>
      </c>
      <c r="H1723" s="6">
        <v>87600</v>
      </c>
      <c r="I1723" s="5">
        <f t="shared" si="26"/>
        <v>29200</v>
      </c>
    </row>
    <row r="1724" spans="1:9" x14ac:dyDescent="0.3">
      <c r="A1724" t="s">
        <v>621</v>
      </c>
      <c r="B1724" t="s">
        <v>36</v>
      </c>
      <c r="C1724" t="s">
        <v>26</v>
      </c>
      <c r="D1724" t="s">
        <v>24</v>
      </c>
      <c r="E1724">
        <v>113</v>
      </c>
      <c r="F1724" s="6">
        <v>1200</v>
      </c>
      <c r="G1724" s="6">
        <v>800</v>
      </c>
      <c r="H1724" s="6">
        <v>135600</v>
      </c>
      <c r="I1724" s="5">
        <f t="shared" si="26"/>
        <v>45200</v>
      </c>
    </row>
    <row r="1725" spans="1:9" x14ac:dyDescent="0.3">
      <c r="A1725" t="s">
        <v>332</v>
      </c>
      <c r="B1725" t="s">
        <v>43</v>
      </c>
      <c r="C1725" t="s">
        <v>17</v>
      </c>
      <c r="D1725" t="s">
        <v>31</v>
      </c>
      <c r="E1725">
        <v>110</v>
      </c>
      <c r="F1725" s="6">
        <v>1000</v>
      </c>
      <c r="G1725" s="6">
        <v>700</v>
      </c>
      <c r="H1725" s="6">
        <v>110000</v>
      </c>
      <c r="I1725" s="5">
        <f t="shared" si="26"/>
        <v>33000</v>
      </c>
    </row>
    <row r="1726" spans="1:9" x14ac:dyDescent="0.3">
      <c r="A1726" t="s">
        <v>187</v>
      </c>
      <c r="B1726" t="s">
        <v>30</v>
      </c>
      <c r="C1726" t="s">
        <v>10</v>
      </c>
      <c r="D1726" t="s">
        <v>11</v>
      </c>
      <c r="E1726">
        <v>148</v>
      </c>
      <c r="F1726" s="6">
        <v>3500</v>
      </c>
      <c r="G1726" s="6">
        <v>2500</v>
      </c>
      <c r="H1726" s="6">
        <v>518000</v>
      </c>
      <c r="I1726" s="5">
        <f t="shared" si="26"/>
        <v>148000</v>
      </c>
    </row>
    <row r="1727" spans="1:9" x14ac:dyDescent="0.3">
      <c r="A1727" t="s">
        <v>370</v>
      </c>
      <c r="B1727" t="s">
        <v>13</v>
      </c>
      <c r="C1727" t="s">
        <v>17</v>
      </c>
      <c r="D1727" t="s">
        <v>18</v>
      </c>
      <c r="E1727">
        <v>85</v>
      </c>
      <c r="F1727" s="6">
        <v>6000</v>
      </c>
      <c r="G1727" s="6">
        <v>4000</v>
      </c>
      <c r="H1727" s="6">
        <v>510000</v>
      </c>
      <c r="I1727" s="5">
        <f t="shared" si="26"/>
        <v>170000</v>
      </c>
    </row>
    <row r="1728" spans="1:9" x14ac:dyDescent="0.3">
      <c r="A1728" t="s">
        <v>682</v>
      </c>
      <c r="B1728" t="s">
        <v>58</v>
      </c>
      <c r="C1728" t="s">
        <v>17</v>
      </c>
      <c r="D1728" t="s">
        <v>24</v>
      </c>
      <c r="E1728">
        <v>92</v>
      </c>
      <c r="F1728" s="6">
        <v>1200</v>
      </c>
      <c r="G1728" s="6">
        <v>800</v>
      </c>
      <c r="H1728" s="6">
        <v>110400</v>
      </c>
      <c r="I1728" s="5">
        <f t="shared" si="26"/>
        <v>36800</v>
      </c>
    </row>
    <row r="1729" spans="1:9" x14ac:dyDescent="0.3">
      <c r="A1729" t="s">
        <v>677</v>
      </c>
      <c r="B1729" t="s">
        <v>36</v>
      </c>
      <c r="C1729" t="s">
        <v>14</v>
      </c>
      <c r="D1729" t="s">
        <v>15</v>
      </c>
      <c r="E1729">
        <v>105</v>
      </c>
      <c r="F1729" s="6">
        <v>4000</v>
      </c>
      <c r="G1729" s="6">
        <v>3000</v>
      </c>
      <c r="H1729" s="6">
        <v>420000</v>
      </c>
      <c r="I1729" s="5">
        <f t="shared" si="26"/>
        <v>105000</v>
      </c>
    </row>
    <row r="1730" spans="1:9" x14ac:dyDescent="0.3">
      <c r="A1730" t="s">
        <v>178</v>
      </c>
      <c r="B1730" t="s">
        <v>23</v>
      </c>
      <c r="C1730" t="s">
        <v>10</v>
      </c>
      <c r="D1730" t="s">
        <v>24</v>
      </c>
      <c r="E1730">
        <v>109</v>
      </c>
      <c r="F1730" s="6">
        <v>1200</v>
      </c>
      <c r="G1730" s="6">
        <v>800</v>
      </c>
      <c r="H1730" s="6">
        <v>130800</v>
      </c>
      <c r="I1730" s="5">
        <f t="shared" ref="I1730:I1793" si="27">H1730-(G1730*E1730)</f>
        <v>43600</v>
      </c>
    </row>
    <row r="1731" spans="1:9" x14ac:dyDescent="0.3">
      <c r="A1731" t="s">
        <v>683</v>
      </c>
      <c r="B1731" t="s">
        <v>20</v>
      </c>
      <c r="C1731" t="s">
        <v>17</v>
      </c>
      <c r="D1731" t="s">
        <v>15</v>
      </c>
      <c r="E1731">
        <v>125</v>
      </c>
      <c r="F1731" s="6">
        <v>4000</v>
      </c>
      <c r="G1731" s="6">
        <v>3000</v>
      </c>
      <c r="H1731" s="6">
        <v>500000</v>
      </c>
      <c r="I1731" s="5">
        <f t="shared" si="27"/>
        <v>125000</v>
      </c>
    </row>
    <row r="1732" spans="1:9" x14ac:dyDescent="0.3">
      <c r="A1732" t="s">
        <v>665</v>
      </c>
      <c r="B1732" t="s">
        <v>13</v>
      </c>
      <c r="C1732" t="s">
        <v>26</v>
      </c>
      <c r="D1732" t="s">
        <v>15</v>
      </c>
      <c r="E1732">
        <v>147</v>
      </c>
      <c r="F1732" s="6">
        <v>4000</v>
      </c>
      <c r="G1732" s="6">
        <v>3000</v>
      </c>
      <c r="H1732" s="6">
        <v>588000</v>
      </c>
      <c r="I1732" s="5">
        <f t="shared" si="27"/>
        <v>147000</v>
      </c>
    </row>
    <row r="1733" spans="1:9" x14ac:dyDescent="0.3">
      <c r="A1733" t="s">
        <v>684</v>
      </c>
      <c r="B1733" t="s">
        <v>28</v>
      </c>
      <c r="C1733" t="s">
        <v>10</v>
      </c>
      <c r="D1733" t="s">
        <v>11</v>
      </c>
      <c r="E1733">
        <v>80</v>
      </c>
      <c r="F1733" s="6">
        <v>3500</v>
      </c>
      <c r="G1733" s="6">
        <v>2500</v>
      </c>
      <c r="H1733" s="6">
        <v>280000</v>
      </c>
      <c r="I1733" s="5">
        <f t="shared" si="27"/>
        <v>80000</v>
      </c>
    </row>
    <row r="1734" spans="1:9" x14ac:dyDescent="0.3">
      <c r="A1734" t="s">
        <v>494</v>
      </c>
      <c r="B1734" t="s">
        <v>13</v>
      </c>
      <c r="C1734" t="s">
        <v>14</v>
      </c>
      <c r="D1734" t="s">
        <v>15</v>
      </c>
      <c r="E1734">
        <v>102</v>
      </c>
      <c r="F1734" s="6">
        <v>4000</v>
      </c>
      <c r="G1734" s="6">
        <v>3000</v>
      </c>
      <c r="H1734" s="6">
        <v>408000</v>
      </c>
      <c r="I1734" s="5">
        <f t="shared" si="27"/>
        <v>102000</v>
      </c>
    </row>
    <row r="1735" spans="1:9" x14ac:dyDescent="0.3">
      <c r="A1735" t="s">
        <v>518</v>
      </c>
      <c r="B1735" t="s">
        <v>30</v>
      </c>
      <c r="C1735" t="s">
        <v>17</v>
      </c>
      <c r="D1735" t="s">
        <v>18</v>
      </c>
      <c r="E1735">
        <v>118</v>
      </c>
      <c r="F1735" s="6">
        <v>6000</v>
      </c>
      <c r="G1735" s="6">
        <v>4000</v>
      </c>
      <c r="H1735" s="6">
        <v>708000</v>
      </c>
      <c r="I1735" s="5">
        <f t="shared" si="27"/>
        <v>236000</v>
      </c>
    </row>
    <row r="1736" spans="1:9" x14ac:dyDescent="0.3">
      <c r="A1736" t="s">
        <v>116</v>
      </c>
      <c r="B1736" t="s">
        <v>40</v>
      </c>
      <c r="C1736" t="s">
        <v>10</v>
      </c>
      <c r="D1736" t="s">
        <v>11</v>
      </c>
      <c r="E1736">
        <v>108</v>
      </c>
      <c r="F1736" s="6">
        <v>3500</v>
      </c>
      <c r="G1736" s="6">
        <v>2500</v>
      </c>
      <c r="H1736" s="6">
        <v>378000</v>
      </c>
      <c r="I1736" s="5">
        <f t="shared" si="27"/>
        <v>108000</v>
      </c>
    </row>
    <row r="1737" spans="1:9" x14ac:dyDescent="0.3">
      <c r="A1737" t="s">
        <v>641</v>
      </c>
      <c r="B1737" t="s">
        <v>20</v>
      </c>
      <c r="C1737" t="s">
        <v>17</v>
      </c>
      <c r="D1737" t="s">
        <v>21</v>
      </c>
      <c r="E1737">
        <v>88</v>
      </c>
      <c r="F1737" s="6">
        <v>600</v>
      </c>
      <c r="G1737" s="6">
        <v>400</v>
      </c>
      <c r="H1737" s="6">
        <v>52800</v>
      </c>
      <c r="I1737" s="5">
        <f t="shared" si="27"/>
        <v>17600</v>
      </c>
    </row>
    <row r="1738" spans="1:9" x14ac:dyDescent="0.3">
      <c r="A1738" t="s">
        <v>94</v>
      </c>
      <c r="B1738" t="s">
        <v>40</v>
      </c>
      <c r="C1738" t="s">
        <v>14</v>
      </c>
      <c r="D1738" t="s">
        <v>24</v>
      </c>
      <c r="E1738">
        <v>132</v>
      </c>
      <c r="F1738" s="6">
        <v>1200</v>
      </c>
      <c r="G1738" s="6">
        <v>800</v>
      </c>
      <c r="H1738" s="6">
        <v>158400</v>
      </c>
      <c r="I1738" s="5">
        <f t="shared" si="27"/>
        <v>52800</v>
      </c>
    </row>
    <row r="1739" spans="1:9" x14ac:dyDescent="0.3">
      <c r="A1739" t="s">
        <v>685</v>
      </c>
      <c r="B1739" t="s">
        <v>28</v>
      </c>
      <c r="C1739" t="s">
        <v>26</v>
      </c>
      <c r="D1739" t="s">
        <v>21</v>
      </c>
      <c r="E1739">
        <v>111</v>
      </c>
      <c r="F1739" s="6">
        <v>600</v>
      </c>
      <c r="G1739" s="6">
        <v>400</v>
      </c>
      <c r="H1739" s="6">
        <v>66600</v>
      </c>
      <c r="I1739" s="5">
        <f t="shared" si="27"/>
        <v>22200</v>
      </c>
    </row>
    <row r="1740" spans="1:9" x14ac:dyDescent="0.3">
      <c r="A1740" t="s">
        <v>415</v>
      </c>
      <c r="B1740" t="s">
        <v>20</v>
      </c>
      <c r="C1740" t="s">
        <v>10</v>
      </c>
      <c r="D1740" t="s">
        <v>34</v>
      </c>
      <c r="E1740">
        <v>59</v>
      </c>
      <c r="F1740" s="6">
        <v>10000</v>
      </c>
      <c r="G1740" s="6">
        <v>7000</v>
      </c>
      <c r="H1740" s="6">
        <v>590000</v>
      </c>
      <c r="I1740" s="5">
        <f t="shared" si="27"/>
        <v>177000</v>
      </c>
    </row>
    <row r="1741" spans="1:9" x14ac:dyDescent="0.3">
      <c r="A1741" t="s">
        <v>490</v>
      </c>
      <c r="B1741" t="s">
        <v>30</v>
      </c>
      <c r="C1741" t="s">
        <v>10</v>
      </c>
      <c r="D1741" t="s">
        <v>34</v>
      </c>
      <c r="E1741">
        <v>65</v>
      </c>
      <c r="F1741" s="6">
        <v>10000</v>
      </c>
      <c r="G1741" s="6">
        <v>7000</v>
      </c>
      <c r="H1741" s="6">
        <v>650000</v>
      </c>
      <c r="I1741" s="5">
        <f t="shared" si="27"/>
        <v>195000</v>
      </c>
    </row>
    <row r="1742" spans="1:9" x14ac:dyDescent="0.3">
      <c r="A1742" t="s">
        <v>297</v>
      </c>
      <c r="B1742" t="s">
        <v>9</v>
      </c>
      <c r="C1742" t="s">
        <v>26</v>
      </c>
      <c r="D1742" t="s">
        <v>11</v>
      </c>
      <c r="E1742">
        <v>140</v>
      </c>
      <c r="F1742" s="6">
        <v>3500</v>
      </c>
      <c r="G1742" s="6">
        <v>2500</v>
      </c>
      <c r="H1742" s="6">
        <v>490000</v>
      </c>
      <c r="I1742" s="5">
        <f t="shared" si="27"/>
        <v>140000</v>
      </c>
    </row>
    <row r="1743" spans="1:9" x14ac:dyDescent="0.3">
      <c r="A1743" t="s">
        <v>686</v>
      </c>
      <c r="B1743" t="s">
        <v>43</v>
      </c>
      <c r="C1743" t="s">
        <v>14</v>
      </c>
      <c r="D1743" t="s">
        <v>11</v>
      </c>
      <c r="E1743">
        <v>125</v>
      </c>
      <c r="F1743" s="6">
        <v>3500</v>
      </c>
      <c r="G1743" s="6">
        <v>2500</v>
      </c>
      <c r="H1743" s="6">
        <v>437500</v>
      </c>
      <c r="I1743" s="5">
        <f t="shared" si="27"/>
        <v>125000</v>
      </c>
    </row>
    <row r="1744" spans="1:9" x14ac:dyDescent="0.3">
      <c r="A1744" t="s">
        <v>213</v>
      </c>
      <c r="B1744" t="s">
        <v>20</v>
      </c>
      <c r="C1744" t="s">
        <v>10</v>
      </c>
      <c r="D1744" t="s">
        <v>18</v>
      </c>
      <c r="E1744">
        <v>81</v>
      </c>
      <c r="F1744" s="6">
        <v>6000</v>
      </c>
      <c r="G1744" s="6">
        <v>4000</v>
      </c>
      <c r="H1744" s="6">
        <v>486000</v>
      </c>
      <c r="I1744" s="5">
        <f t="shared" si="27"/>
        <v>162000</v>
      </c>
    </row>
    <row r="1745" spans="1:9" x14ac:dyDescent="0.3">
      <c r="A1745" t="s">
        <v>687</v>
      </c>
      <c r="B1745" t="s">
        <v>23</v>
      </c>
      <c r="C1745" t="s">
        <v>14</v>
      </c>
      <c r="D1745" t="s">
        <v>34</v>
      </c>
      <c r="E1745">
        <v>78</v>
      </c>
      <c r="F1745" s="6">
        <v>10000</v>
      </c>
      <c r="G1745" s="6">
        <v>7000</v>
      </c>
      <c r="H1745" s="6">
        <v>780000</v>
      </c>
      <c r="I1745" s="5">
        <f t="shared" si="27"/>
        <v>234000</v>
      </c>
    </row>
    <row r="1746" spans="1:9" x14ac:dyDescent="0.3">
      <c r="A1746" t="s">
        <v>115</v>
      </c>
      <c r="B1746" t="s">
        <v>43</v>
      </c>
      <c r="C1746" t="s">
        <v>10</v>
      </c>
      <c r="D1746" t="s">
        <v>18</v>
      </c>
      <c r="E1746">
        <v>66</v>
      </c>
      <c r="F1746" s="6">
        <v>6000</v>
      </c>
      <c r="G1746" s="6">
        <v>4000</v>
      </c>
      <c r="H1746" s="6">
        <v>396000</v>
      </c>
      <c r="I1746" s="5">
        <f t="shared" si="27"/>
        <v>132000</v>
      </c>
    </row>
    <row r="1747" spans="1:9" x14ac:dyDescent="0.3">
      <c r="A1747" t="s">
        <v>292</v>
      </c>
      <c r="B1747" t="s">
        <v>40</v>
      </c>
      <c r="C1747" t="s">
        <v>17</v>
      </c>
      <c r="D1747" t="s">
        <v>15</v>
      </c>
      <c r="E1747">
        <v>87</v>
      </c>
      <c r="F1747" s="6">
        <v>4000</v>
      </c>
      <c r="G1747" s="6">
        <v>3000</v>
      </c>
      <c r="H1747" s="6">
        <v>348000</v>
      </c>
      <c r="I1747" s="5">
        <f t="shared" si="27"/>
        <v>87000</v>
      </c>
    </row>
    <row r="1748" spans="1:9" x14ac:dyDescent="0.3">
      <c r="A1748" t="s">
        <v>76</v>
      </c>
      <c r="B1748" t="s">
        <v>40</v>
      </c>
      <c r="C1748" t="s">
        <v>17</v>
      </c>
      <c r="D1748" t="s">
        <v>15</v>
      </c>
      <c r="E1748">
        <v>55</v>
      </c>
      <c r="F1748" s="6">
        <v>4000</v>
      </c>
      <c r="G1748" s="6">
        <v>3000</v>
      </c>
      <c r="H1748" s="6">
        <v>220000</v>
      </c>
      <c r="I1748" s="5">
        <f t="shared" si="27"/>
        <v>55000</v>
      </c>
    </row>
    <row r="1749" spans="1:9" x14ac:dyDescent="0.3">
      <c r="A1749" t="s">
        <v>688</v>
      </c>
      <c r="B1749" t="s">
        <v>13</v>
      </c>
      <c r="C1749" t="s">
        <v>26</v>
      </c>
      <c r="D1749" t="s">
        <v>15</v>
      </c>
      <c r="E1749">
        <v>104</v>
      </c>
      <c r="F1749" s="6">
        <v>4000</v>
      </c>
      <c r="G1749" s="6">
        <v>3000</v>
      </c>
      <c r="H1749" s="6">
        <v>416000</v>
      </c>
      <c r="I1749" s="5">
        <f t="shared" si="27"/>
        <v>104000</v>
      </c>
    </row>
    <row r="1750" spans="1:9" x14ac:dyDescent="0.3">
      <c r="A1750" t="s">
        <v>76</v>
      </c>
      <c r="B1750" t="s">
        <v>36</v>
      </c>
      <c r="C1750" t="s">
        <v>10</v>
      </c>
      <c r="D1750" t="s">
        <v>34</v>
      </c>
      <c r="E1750">
        <v>74</v>
      </c>
      <c r="F1750" s="6">
        <v>10000</v>
      </c>
      <c r="G1750" s="6">
        <v>7000</v>
      </c>
      <c r="H1750" s="6">
        <v>740000</v>
      </c>
      <c r="I1750" s="5">
        <f t="shared" si="27"/>
        <v>222000</v>
      </c>
    </row>
    <row r="1751" spans="1:9" x14ac:dyDescent="0.3">
      <c r="A1751" t="s">
        <v>8</v>
      </c>
      <c r="B1751" t="s">
        <v>36</v>
      </c>
      <c r="C1751" t="s">
        <v>14</v>
      </c>
      <c r="D1751" t="s">
        <v>34</v>
      </c>
      <c r="E1751">
        <v>73</v>
      </c>
      <c r="F1751" s="6">
        <v>10000</v>
      </c>
      <c r="G1751" s="6">
        <v>7000</v>
      </c>
      <c r="H1751" s="6">
        <v>730000</v>
      </c>
      <c r="I1751" s="5">
        <f t="shared" si="27"/>
        <v>219000</v>
      </c>
    </row>
    <row r="1752" spans="1:9" x14ac:dyDescent="0.3">
      <c r="A1752" t="s">
        <v>456</v>
      </c>
      <c r="B1752" t="s">
        <v>23</v>
      </c>
      <c r="C1752" t="s">
        <v>17</v>
      </c>
      <c r="D1752" t="s">
        <v>31</v>
      </c>
      <c r="E1752">
        <v>88</v>
      </c>
      <c r="F1752" s="6">
        <v>1000</v>
      </c>
      <c r="G1752" s="6">
        <v>700</v>
      </c>
      <c r="H1752" s="6">
        <v>88000</v>
      </c>
      <c r="I1752" s="5">
        <f t="shared" si="27"/>
        <v>26400</v>
      </c>
    </row>
    <row r="1753" spans="1:9" x14ac:dyDescent="0.3">
      <c r="A1753" t="s">
        <v>169</v>
      </c>
      <c r="B1753" t="s">
        <v>20</v>
      </c>
      <c r="C1753" t="s">
        <v>10</v>
      </c>
      <c r="D1753" t="s">
        <v>21</v>
      </c>
      <c r="E1753">
        <v>82</v>
      </c>
      <c r="F1753" s="6">
        <v>600</v>
      </c>
      <c r="G1753" s="6">
        <v>400</v>
      </c>
      <c r="H1753" s="6">
        <v>49200</v>
      </c>
      <c r="I1753" s="5">
        <f t="shared" si="27"/>
        <v>16400</v>
      </c>
    </row>
    <row r="1754" spans="1:9" x14ac:dyDescent="0.3">
      <c r="A1754" t="s">
        <v>507</v>
      </c>
      <c r="B1754" t="s">
        <v>30</v>
      </c>
      <c r="C1754" t="s">
        <v>14</v>
      </c>
      <c r="D1754" t="s">
        <v>11</v>
      </c>
      <c r="E1754">
        <v>150</v>
      </c>
      <c r="F1754" s="6">
        <v>3500</v>
      </c>
      <c r="G1754" s="6">
        <v>2500</v>
      </c>
      <c r="H1754" s="6">
        <v>525000</v>
      </c>
      <c r="I1754" s="5">
        <f t="shared" si="27"/>
        <v>150000</v>
      </c>
    </row>
    <row r="1755" spans="1:9" x14ac:dyDescent="0.3">
      <c r="A1755" t="s">
        <v>208</v>
      </c>
      <c r="B1755" t="s">
        <v>28</v>
      </c>
      <c r="C1755" t="s">
        <v>26</v>
      </c>
      <c r="D1755" t="s">
        <v>34</v>
      </c>
      <c r="E1755">
        <v>54</v>
      </c>
      <c r="F1755" s="6">
        <v>10000</v>
      </c>
      <c r="G1755" s="6">
        <v>7000</v>
      </c>
      <c r="H1755" s="6">
        <v>540000</v>
      </c>
      <c r="I1755" s="5">
        <f t="shared" si="27"/>
        <v>162000</v>
      </c>
    </row>
    <row r="1756" spans="1:9" x14ac:dyDescent="0.3">
      <c r="A1756" t="s">
        <v>130</v>
      </c>
      <c r="B1756" t="s">
        <v>9</v>
      </c>
      <c r="C1756" t="s">
        <v>26</v>
      </c>
      <c r="D1756" t="s">
        <v>34</v>
      </c>
      <c r="E1756">
        <v>120</v>
      </c>
      <c r="F1756" s="6">
        <v>10000</v>
      </c>
      <c r="G1756" s="6">
        <v>7000</v>
      </c>
      <c r="H1756" s="6">
        <v>1200000</v>
      </c>
      <c r="I1756" s="5">
        <f t="shared" si="27"/>
        <v>360000</v>
      </c>
    </row>
    <row r="1757" spans="1:9" x14ac:dyDescent="0.3">
      <c r="A1757" t="s">
        <v>689</v>
      </c>
      <c r="B1757" t="s">
        <v>20</v>
      </c>
      <c r="C1757" t="s">
        <v>17</v>
      </c>
      <c r="D1757" t="s">
        <v>21</v>
      </c>
      <c r="E1757">
        <v>143</v>
      </c>
      <c r="F1757" s="6">
        <v>600</v>
      </c>
      <c r="G1757" s="6">
        <v>400</v>
      </c>
      <c r="H1757" s="6">
        <v>85800</v>
      </c>
      <c r="I1757" s="5">
        <f t="shared" si="27"/>
        <v>28600</v>
      </c>
    </row>
    <row r="1758" spans="1:9" x14ac:dyDescent="0.3">
      <c r="A1758" t="s">
        <v>96</v>
      </c>
      <c r="B1758" t="s">
        <v>28</v>
      </c>
      <c r="C1758" t="s">
        <v>26</v>
      </c>
      <c r="D1758" t="s">
        <v>11</v>
      </c>
      <c r="E1758">
        <v>91</v>
      </c>
      <c r="F1758" s="6">
        <v>3500</v>
      </c>
      <c r="G1758" s="6">
        <v>2500</v>
      </c>
      <c r="H1758" s="6">
        <v>318500</v>
      </c>
      <c r="I1758" s="5">
        <f t="shared" si="27"/>
        <v>91000</v>
      </c>
    </row>
    <row r="1759" spans="1:9" x14ac:dyDescent="0.3">
      <c r="A1759" t="s">
        <v>484</v>
      </c>
      <c r="B1759" t="s">
        <v>58</v>
      </c>
      <c r="C1759" t="s">
        <v>10</v>
      </c>
      <c r="D1759" t="s">
        <v>34</v>
      </c>
      <c r="E1759">
        <v>126</v>
      </c>
      <c r="F1759" s="6">
        <v>10000</v>
      </c>
      <c r="G1759" s="6">
        <v>7000</v>
      </c>
      <c r="H1759" s="6">
        <v>1260000</v>
      </c>
      <c r="I1759" s="5">
        <f t="shared" si="27"/>
        <v>378000</v>
      </c>
    </row>
    <row r="1760" spans="1:9" x14ac:dyDescent="0.3">
      <c r="A1760" t="s">
        <v>358</v>
      </c>
      <c r="B1760" t="s">
        <v>13</v>
      </c>
      <c r="C1760" t="s">
        <v>10</v>
      </c>
      <c r="D1760" t="s">
        <v>15</v>
      </c>
      <c r="E1760">
        <v>116</v>
      </c>
      <c r="F1760" s="6">
        <v>4000</v>
      </c>
      <c r="G1760" s="6">
        <v>3000</v>
      </c>
      <c r="H1760" s="6">
        <v>464000</v>
      </c>
      <c r="I1760" s="5">
        <f t="shared" si="27"/>
        <v>116000</v>
      </c>
    </row>
    <row r="1761" spans="1:9" x14ac:dyDescent="0.3">
      <c r="A1761" t="s">
        <v>574</v>
      </c>
      <c r="B1761" t="s">
        <v>36</v>
      </c>
      <c r="C1761" t="s">
        <v>10</v>
      </c>
      <c r="D1761" t="s">
        <v>18</v>
      </c>
      <c r="E1761">
        <v>96</v>
      </c>
      <c r="F1761" s="6">
        <v>6000</v>
      </c>
      <c r="G1761" s="6">
        <v>4000</v>
      </c>
      <c r="H1761" s="6">
        <v>576000</v>
      </c>
      <c r="I1761" s="5">
        <f t="shared" si="27"/>
        <v>192000</v>
      </c>
    </row>
    <row r="1762" spans="1:9" x14ac:dyDescent="0.3">
      <c r="A1762" t="s">
        <v>202</v>
      </c>
      <c r="B1762" t="s">
        <v>20</v>
      </c>
      <c r="C1762" t="s">
        <v>26</v>
      </c>
      <c r="D1762" t="s">
        <v>18</v>
      </c>
      <c r="E1762">
        <v>88</v>
      </c>
      <c r="F1762" s="6">
        <v>6000</v>
      </c>
      <c r="G1762" s="6">
        <v>4000</v>
      </c>
      <c r="H1762" s="6">
        <v>528000</v>
      </c>
      <c r="I1762" s="5">
        <f t="shared" si="27"/>
        <v>176000</v>
      </c>
    </row>
    <row r="1763" spans="1:9" x14ac:dyDescent="0.3">
      <c r="A1763" t="s">
        <v>466</v>
      </c>
      <c r="B1763" t="s">
        <v>28</v>
      </c>
      <c r="C1763" t="s">
        <v>17</v>
      </c>
      <c r="D1763" t="s">
        <v>18</v>
      </c>
      <c r="E1763">
        <v>58</v>
      </c>
      <c r="F1763" s="6">
        <v>6000</v>
      </c>
      <c r="G1763" s="6">
        <v>4000</v>
      </c>
      <c r="H1763" s="6">
        <v>348000</v>
      </c>
      <c r="I1763" s="5">
        <f t="shared" si="27"/>
        <v>116000</v>
      </c>
    </row>
    <row r="1764" spans="1:9" x14ac:dyDescent="0.3">
      <c r="A1764" t="s">
        <v>208</v>
      </c>
      <c r="B1764" t="s">
        <v>40</v>
      </c>
      <c r="C1764" t="s">
        <v>26</v>
      </c>
      <c r="D1764" t="s">
        <v>15</v>
      </c>
      <c r="E1764">
        <v>89</v>
      </c>
      <c r="F1764" s="6">
        <v>4000</v>
      </c>
      <c r="G1764" s="6">
        <v>3000</v>
      </c>
      <c r="H1764" s="6">
        <v>356000</v>
      </c>
      <c r="I1764" s="5">
        <f t="shared" si="27"/>
        <v>89000</v>
      </c>
    </row>
    <row r="1765" spans="1:9" x14ac:dyDescent="0.3">
      <c r="A1765" t="s">
        <v>578</v>
      </c>
      <c r="B1765" t="s">
        <v>30</v>
      </c>
      <c r="C1765" t="s">
        <v>10</v>
      </c>
      <c r="D1765" t="s">
        <v>34</v>
      </c>
      <c r="E1765">
        <v>71</v>
      </c>
      <c r="F1765" s="6">
        <v>10000</v>
      </c>
      <c r="G1765" s="6">
        <v>7000</v>
      </c>
      <c r="H1765" s="6">
        <v>710000</v>
      </c>
      <c r="I1765" s="5">
        <f t="shared" si="27"/>
        <v>213000</v>
      </c>
    </row>
    <row r="1766" spans="1:9" x14ac:dyDescent="0.3">
      <c r="A1766" t="s">
        <v>448</v>
      </c>
      <c r="B1766" t="s">
        <v>28</v>
      </c>
      <c r="C1766" t="s">
        <v>26</v>
      </c>
      <c r="D1766" t="s">
        <v>24</v>
      </c>
      <c r="E1766">
        <v>120</v>
      </c>
      <c r="F1766" s="6">
        <v>1200</v>
      </c>
      <c r="G1766" s="6">
        <v>800</v>
      </c>
      <c r="H1766" s="6">
        <v>144000</v>
      </c>
      <c r="I1766" s="5">
        <f t="shared" si="27"/>
        <v>48000</v>
      </c>
    </row>
    <row r="1767" spans="1:9" x14ac:dyDescent="0.3">
      <c r="A1767" t="s">
        <v>246</v>
      </c>
      <c r="B1767" t="s">
        <v>20</v>
      </c>
      <c r="C1767" t="s">
        <v>14</v>
      </c>
      <c r="D1767" t="s">
        <v>24</v>
      </c>
      <c r="E1767">
        <v>116</v>
      </c>
      <c r="F1767" s="6">
        <v>1200</v>
      </c>
      <c r="G1767" s="6">
        <v>800</v>
      </c>
      <c r="H1767" s="6">
        <v>139200</v>
      </c>
      <c r="I1767" s="5">
        <f t="shared" si="27"/>
        <v>46400</v>
      </c>
    </row>
    <row r="1768" spans="1:9" x14ac:dyDescent="0.3">
      <c r="A1768" t="s">
        <v>143</v>
      </c>
      <c r="B1768" t="s">
        <v>23</v>
      </c>
      <c r="C1768" t="s">
        <v>26</v>
      </c>
      <c r="D1768" t="s">
        <v>11</v>
      </c>
      <c r="E1768">
        <v>53</v>
      </c>
      <c r="F1768" s="6">
        <v>3500</v>
      </c>
      <c r="G1768" s="6">
        <v>2500</v>
      </c>
      <c r="H1768" s="6">
        <v>185500</v>
      </c>
      <c r="I1768" s="5">
        <f t="shared" si="27"/>
        <v>53000</v>
      </c>
    </row>
    <row r="1769" spans="1:9" x14ac:dyDescent="0.3">
      <c r="A1769" t="s">
        <v>622</v>
      </c>
      <c r="B1769" t="s">
        <v>43</v>
      </c>
      <c r="C1769" t="s">
        <v>17</v>
      </c>
      <c r="D1769" t="s">
        <v>11</v>
      </c>
      <c r="E1769">
        <v>82</v>
      </c>
      <c r="F1769" s="6">
        <v>3500</v>
      </c>
      <c r="G1769" s="6">
        <v>2500</v>
      </c>
      <c r="H1769" s="6">
        <v>287000</v>
      </c>
      <c r="I1769" s="5">
        <f t="shared" si="27"/>
        <v>82000</v>
      </c>
    </row>
    <row r="1770" spans="1:9" x14ac:dyDescent="0.3">
      <c r="A1770" t="s">
        <v>649</v>
      </c>
      <c r="B1770" t="s">
        <v>43</v>
      </c>
      <c r="C1770" t="s">
        <v>17</v>
      </c>
      <c r="D1770" t="s">
        <v>21</v>
      </c>
      <c r="E1770">
        <v>118</v>
      </c>
      <c r="F1770" s="6">
        <v>600</v>
      </c>
      <c r="G1770" s="6">
        <v>400</v>
      </c>
      <c r="H1770" s="6">
        <v>70800</v>
      </c>
      <c r="I1770" s="5">
        <f t="shared" si="27"/>
        <v>23600</v>
      </c>
    </row>
    <row r="1771" spans="1:9" x14ac:dyDescent="0.3">
      <c r="A1771" t="s">
        <v>575</v>
      </c>
      <c r="B1771" t="s">
        <v>30</v>
      </c>
      <c r="C1771" t="s">
        <v>17</v>
      </c>
      <c r="D1771" t="s">
        <v>11</v>
      </c>
      <c r="E1771">
        <v>132</v>
      </c>
      <c r="F1771" s="6">
        <v>3500</v>
      </c>
      <c r="G1771" s="6">
        <v>2500</v>
      </c>
      <c r="H1771" s="6">
        <v>462000</v>
      </c>
      <c r="I1771" s="5">
        <f t="shared" si="27"/>
        <v>132000</v>
      </c>
    </row>
    <row r="1772" spans="1:9" x14ac:dyDescent="0.3">
      <c r="A1772" t="s">
        <v>192</v>
      </c>
      <c r="B1772" t="s">
        <v>30</v>
      </c>
      <c r="C1772" t="s">
        <v>10</v>
      </c>
      <c r="D1772" t="s">
        <v>24</v>
      </c>
      <c r="E1772">
        <v>145</v>
      </c>
      <c r="F1772" s="6">
        <v>1200</v>
      </c>
      <c r="G1772" s="6">
        <v>800</v>
      </c>
      <c r="H1772" s="6">
        <v>174000</v>
      </c>
      <c r="I1772" s="5">
        <f t="shared" si="27"/>
        <v>58000</v>
      </c>
    </row>
    <row r="1773" spans="1:9" x14ac:dyDescent="0.3">
      <c r="A1773" t="s">
        <v>382</v>
      </c>
      <c r="B1773" t="s">
        <v>23</v>
      </c>
      <c r="C1773" t="s">
        <v>26</v>
      </c>
      <c r="D1773" t="s">
        <v>24</v>
      </c>
      <c r="E1773">
        <v>75</v>
      </c>
      <c r="F1773" s="6">
        <v>1200</v>
      </c>
      <c r="G1773" s="6">
        <v>800</v>
      </c>
      <c r="H1773" s="6">
        <v>90000</v>
      </c>
      <c r="I1773" s="5">
        <f t="shared" si="27"/>
        <v>30000</v>
      </c>
    </row>
    <row r="1774" spans="1:9" x14ac:dyDescent="0.3">
      <c r="A1774" t="s">
        <v>427</v>
      </c>
      <c r="B1774" t="s">
        <v>58</v>
      </c>
      <c r="C1774" t="s">
        <v>10</v>
      </c>
      <c r="D1774" t="s">
        <v>11</v>
      </c>
      <c r="E1774">
        <v>127</v>
      </c>
      <c r="F1774" s="6">
        <v>3500</v>
      </c>
      <c r="G1774" s="6">
        <v>2500</v>
      </c>
      <c r="H1774" s="6">
        <v>444500</v>
      </c>
      <c r="I1774" s="5">
        <f t="shared" si="27"/>
        <v>127000</v>
      </c>
    </row>
    <row r="1775" spans="1:9" x14ac:dyDescent="0.3">
      <c r="A1775" t="s">
        <v>202</v>
      </c>
      <c r="B1775" t="s">
        <v>20</v>
      </c>
      <c r="C1775" t="s">
        <v>14</v>
      </c>
      <c r="D1775" t="s">
        <v>34</v>
      </c>
      <c r="E1775">
        <v>123</v>
      </c>
      <c r="F1775" s="6">
        <v>10000</v>
      </c>
      <c r="G1775" s="6">
        <v>7000</v>
      </c>
      <c r="H1775" s="6">
        <v>1230000</v>
      </c>
      <c r="I1775" s="5">
        <f t="shared" si="27"/>
        <v>369000</v>
      </c>
    </row>
    <row r="1776" spans="1:9" x14ac:dyDescent="0.3">
      <c r="A1776" t="s">
        <v>273</v>
      </c>
      <c r="B1776" t="s">
        <v>28</v>
      </c>
      <c r="C1776" t="s">
        <v>26</v>
      </c>
      <c r="D1776" t="s">
        <v>21</v>
      </c>
      <c r="E1776">
        <v>137</v>
      </c>
      <c r="F1776" s="6">
        <v>600</v>
      </c>
      <c r="G1776" s="6">
        <v>400</v>
      </c>
      <c r="H1776" s="6">
        <v>82200</v>
      </c>
      <c r="I1776" s="5">
        <f t="shared" si="27"/>
        <v>27400</v>
      </c>
    </row>
    <row r="1777" spans="1:9" x14ac:dyDescent="0.3">
      <c r="A1777" t="s">
        <v>690</v>
      </c>
      <c r="B1777" t="s">
        <v>9</v>
      </c>
      <c r="C1777" t="s">
        <v>17</v>
      </c>
      <c r="D1777" t="s">
        <v>24</v>
      </c>
      <c r="E1777">
        <v>138</v>
      </c>
      <c r="F1777" s="6">
        <v>1200</v>
      </c>
      <c r="G1777" s="6">
        <v>800</v>
      </c>
      <c r="H1777" s="6">
        <v>165600</v>
      </c>
      <c r="I1777" s="5">
        <f t="shared" si="27"/>
        <v>55200</v>
      </c>
    </row>
    <row r="1778" spans="1:9" x14ac:dyDescent="0.3">
      <c r="A1778" t="s">
        <v>360</v>
      </c>
      <c r="B1778" t="s">
        <v>23</v>
      </c>
      <c r="C1778" t="s">
        <v>14</v>
      </c>
      <c r="D1778" t="s">
        <v>11</v>
      </c>
      <c r="E1778">
        <v>93</v>
      </c>
      <c r="F1778" s="6">
        <v>3500</v>
      </c>
      <c r="G1778" s="6">
        <v>2500</v>
      </c>
      <c r="H1778" s="6">
        <v>325500</v>
      </c>
      <c r="I1778" s="5">
        <f t="shared" si="27"/>
        <v>93000</v>
      </c>
    </row>
    <row r="1779" spans="1:9" x14ac:dyDescent="0.3">
      <c r="A1779" t="s">
        <v>510</v>
      </c>
      <c r="B1779" t="s">
        <v>58</v>
      </c>
      <c r="C1779" t="s">
        <v>26</v>
      </c>
      <c r="D1779" t="s">
        <v>21</v>
      </c>
      <c r="E1779">
        <v>150</v>
      </c>
      <c r="F1779" s="6">
        <v>600</v>
      </c>
      <c r="G1779" s="6">
        <v>400</v>
      </c>
      <c r="H1779" s="6">
        <v>90000</v>
      </c>
      <c r="I1779" s="5">
        <f t="shared" si="27"/>
        <v>30000</v>
      </c>
    </row>
    <row r="1780" spans="1:9" x14ac:dyDescent="0.3">
      <c r="A1780" t="s">
        <v>536</v>
      </c>
      <c r="B1780" t="s">
        <v>30</v>
      </c>
      <c r="C1780" t="s">
        <v>26</v>
      </c>
      <c r="D1780" t="s">
        <v>15</v>
      </c>
      <c r="E1780">
        <v>140</v>
      </c>
      <c r="F1780" s="6">
        <v>4000</v>
      </c>
      <c r="G1780" s="6">
        <v>3000</v>
      </c>
      <c r="H1780" s="6">
        <v>560000</v>
      </c>
      <c r="I1780" s="5">
        <f t="shared" si="27"/>
        <v>140000</v>
      </c>
    </row>
    <row r="1781" spans="1:9" x14ac:dyDescent="0.3">
      <c r="A1781" t="s">
        <v>389</v>
      </c>
      <c r="B1781" t="s">
        <v>43</v>
      </c>
      <c r="C1781" t="s">
        <v>14</v>
      </c>
      <c r="D1781" t="s">
        <v>31</v>
      </c>
      <c r="E1781">
        <v>115</v>
      </c>
      <c r="F1781" s="6">
        <v>1000</v>
      </c>
      <c r="G1781" s="6">
        <v>700</v>
      </c>
      <c r="H1781" s="6">
        <v>115000</v>
      </c>
      <c r="I1781" s="5">
        <f t="shared" si="27"/>
        <v>34500</v>
      </c>
    </row>
    <row r="1782" spans="1:9" x14ac:dyDescent="0.3">
      <c r="A1782" t="s">
        <v>265</v>
      </c>
      <c r="B1782" t="s">
        <v>9</v>
      </c>
      <c r="C1782" t="s">
        <v>17</v>
      </c>
      <c r="D1782" t="s">
        <v>21</v>
      </c>
      <c r="E1782">
        <v>121</v>
      </c>
      <c r="F1782" s="6">
        <v>600</v>
      </c>
      <c r="G1782" s="6">
        <v>400</v>
      </c>
      <c r="H1782" s="6">
        <v>72600</v>
      </c>
      <c r="I1782" s="5">
        <f t="shared" si="27"/>
        <v>24200</v>
      </c>
    </row>
    <row r="1783" spans="1:9" x14ac:dyDescent="0.3">
      <c r="A1783" t="s">
        <v>38</v>
      </c>
      <c r="B1783" t="s">
        <v>58</v>
      </c>
      <c r="C1783" t="s">
        <v>10</v>
      </c>
      <c r="D1783" t="s">
        <v>34</v>
      </c>
      <c r="E1783">
        <v>52</v>
      </c>
      <c r="F1783" s="6">
        <v>10000</v>
      </c>
      <c r="G1783" s="6">
        <v>7000</v>
      </c>
      <c r="H1783" s="6">
        <v>520000</v>
      </c>
      <c r="I1783" s="5">
        <f t="shared" si="27"/>
        <v>156000</v>
      </c>
    </row>
    <row r="1784" spans="1:9" x14ac:dyDescent="0.3">
      <c r="A1784" t="s">
        <v>571</v>
      </c>
      <c r="B1784" t="s">
        <v>13</v>
      </c>
      <c r="C1784" t="s">
        <v>26</v>
      </c>
      <c r="D1784" t="s">
        <v>31</v>
      </c>
      <c r="E1784">
        <v>135</v>
      </c>
      <c r="F1784" s="6">
        <v>1000</v>
      </c>
      <c r="G1784" s="6">
        <v>700</v>
      </c>
      <c r="H1784" s="6">
        <v>135000</v>
      </c>
      <c r="I1784" s="5">
        <f t="shared" si="27"/>
        <v>40500</v>
      </c>
    </row>
    <row r="1785" spans="1:9" x14ac:dyDescent="0.3">
      <c r="A1785" t="s">
        <v>683</v>
      </c>
      <c r="B1785" t="s">
        <v>36</v>
      </c>
      <c r="C1785" t="s">
        <v>10</v>
      </c>
      <c r="D1785" t="s">
        <v>11</v>
      </c>
      <c r="E1785">
        <v>130</v>
      </c>
      <c r="F1785" s="6">
        <v>3500</v>
      </c>
      <c r="G1785" s="6">
        <v>2500</v>
      </c>
      <c r="H1785" s="6">
        <v>455000</v>
      </c>
      <c r="I1785" s="5">
        <f t="shared" si="27"/>
        <v>130000</v>
      </c>
    </row>
    <row r="1786" spans="1:9" x14ac:dyDescent="0.3">
      <c r="A1786" t="s">
        <v>404</v>
      </c>
      <c r="B1786" t="s">
        <v>23</v>
      </c>
      <c r="C1786" t="s">
        <v>10</v>
      </c>
      <c r="D1786" t="s">
        <v>24</v>
      </c>
      <c r="E1786">
        <v>129</v>
      </c>
      <c r="F1786" s="6">
        <v>1200</v>
      </c>
      <c r="G1786" s="6">
        <v>800</v>
      </c>
      <c r="H1786" s="6">
        <v>154800</v>
      </c>
      <c r="I1786" s="5">
        <f t="shared" si="27"/>
        <v>51600</v>
      </c>
    </row>
    <row r="1787" spans="1:9" x14ac:dyDescent="0.3">
      <c r="A1787" t="s">
        <v>677</v>
      </c>
      <c r="B1787" t="s">
        <v>23</v>
      </c>
      <c r="C1787" t="s">
        <v>26</v>
      </c>
      <c r="D1787" t="s">
        <v>34</v>
      </c>
      <c r="E1787">
        <v>60</v>
      </c>
      <c r="F1787" s="6">
        <v>10000</v>
      </c>
      <c r="G1787" s="6">
        <v>7000</v>
      </c>
      <c r="H1787" s="6">
        <v>600000</v>
      </c>
      <c r="I1787" s="5">
        <f t="shared" si="27"/>
        <v>180000</v>
      </c>
    </row>
    <row r="1788" spans="1:9" x14ac:dyDescent="0.3">
      <c r="A1788" t="s">
        <v>438</v>
      </c>
      <c r="B1788" t="s">
        <v>9</v>
      </c>
      <c r="C1788" t="s">
        <v>17</v>
      </c>
      <c r="D1788" t="s">
        <v>34</v>
      </c>
      <c r="E1788">
        <v>111</v>
      </c>
      <c r="F1788" s="6">
        <v>10000</v>
      </c>
      <c r="G1788" s="6">
        <v>7000</v>
      </c>
      <c r="H1788" s="6">
        <v>1110000</v>
      </c>
      <c r="I1788" s="5">
        <f t="shared" si="27"/>
        <v>333000</v>
      </c>
    </row>
    <row r="1789" spans="1:9" x14ac:dyDescent="0.3">
      <c r="A1789" t="s">
        <v>592</v>
      </c>
      <c r="B1789" t="s">
        <v>28</v>
      </c>
      <c r="C1789" t="s">
        <v>17</v>
      </c>
      <c r="D1789" t="s">
        <v>15</v>
      </c>
      <c r="E1789">
        <v>67</v>
      </c>
      <c r="F1789" s="6">
        <v>4000</v>
      </c>
      <c r="G1789" s="6">
        <v>3000</v>
      </c>
      <c r="H1789" s="6">
        <v>268000</v>
      </c>
      <c r="I1789" s="5">
        <f t="shared" si="27"/>
        <v>67000</v>
      </c>
    </row>
    <row r="1790" spans="1:9" x14ac:dyDescent="0.3">
      <c r="A1790" t="s">
        <v>624</v>
      </c>
      <c r="B1790" t="s">
        <v>40</v>
      </c>
      <c r="C1790" t="s">
        <v>14</v>
      </c>
      <c r="D1790" t="s">
        <v>15</v>
      </c>
      <c r="E1790">
        <v>92</v>
      </c>
      <c r="F1790" s="6">
        <v>4000</v>
      </c>
      <c r="G1790" s="6">
        <v>3000</v>
      </c>
      <c r="H1790" s="6">
        <v>368000</v>
      </c>
      <c r="I1790" s="5">
        <f t="shared" si="27"/>
        <v>92000</v>
      </c>
    </row>
    <row r="1791" spans="1:9" x14ac:dyDescent="0.3">
      <c r="A1791" t="s">
        <v>291</v>
      </c>
      <c r="B1791" t="s">
        <v>23</v>
      </c>
      <c r="C1791" t="s">
        <v>26</v>
      </c>
      <c r="D1791" t="s">
        <v>18</v>
      </c>
      <c r="E1791">
        <v>73</v>
      </c>
      <c r="F1791" s="6">
        <v>6000</v>
      </c>
      <c r="G1791" s="6">
        <v>4000</v>
      </c>
      <c r="H1791" s="6">
        <v>438000</v>
      </c>
      <c r="I1791" s="5">
        <f t="shared" si="27"/>
        <v>146000</v>
      </c>
    </row>
    <row r="1792" spans="1:9" x14ac:dyDescent="0.3">
      <c r="A1792" t="s">
        <v>691</v>
      </c>
      <c r="B1792" t="s">
        <v>30</v>
      </c>
      <c r="C1792" t="s">
        <v>26</v>
      </c>
      <c r="D1792" t="s">
        <v>21</v>
      </c>
      <c r="E1792">
        <v>74</v>
      </c>
      <c r="F1792" s="6">
        <v>600</v>
      </c>
      <c r="G1792" s="6">
        <v>400</v>
      </c>
      <c r="H1792" s="6">
        <v>44400</v>
      </c>
      <c r="I1792" s="5">
        <f t="shared" si="27"/>
        <v>14800</v>
      </c>
    </row>
    <row r="1793" spans="1:9" x14ac:dyDescent="0.3">
      <c r="A1793" t="s">
        <v>571</v>
      </c>
      <c r="B1793" t="s">
        <v>36</v>
      </c>
      <c r="C1793" t="s">
        <v>17</v>
      </c>
      <c r="D1793" t="s">
        <v>24</v>
      </c>
      <c r="E1793">
        <v>85</v>
      </c>
      <c r="F1793" s="6">
        <v>1200</v>
      </c>
      <c r="G1793" s="6">
        <v>800</v>
      </c>
      <c r="H1793" s="6">
        <v>102000</v>
      </c>
      <c r="I1793" s="5">
        <f t="shared" si="27"/>
        <v>34000</v>
      </c>
    </row>
    <row r="1794" spans="1:9" x14ac:dyDescent="0.3">
      <c r="A1794" t="s">
        <v>174</v>
      </c>
      <c r="B1794" t="s">
        <v>28</v>
      </c>
      <c r="C1794" t="s">
        <v>10</v>
      </c>
      <c r="D1794" t="s">
        <v>18</v>
      </c>
      <c r="E1794">
        <v>90</v>
      </c>
      <c r="F1794" s="6">
        <v>6000</v>
      </c>
      <c r="G1794" s="6">
        <v>4000</v>
      </c>
      <c r="H1794" s="6">
        <v>540000</v>
      </c>
      <c r="I1794" s="5">
        <f t="shared" ref="I1794:I1857" si="28">H1794-(G1794*E1794)</f>
        <v>180000</v>
      </c>
    </row>
    <row r="1795" spans="1:9" x14ac:dyDescent="0.3">
      <c r="A1795" t="s">
        <v>692</v>
      </c>
      <c r="B1795" t="s">
        <v>28</v>
      </c>
      <c r="C1795" t="s">
        <v>14</v>
      </c>
      <c r="D1795" t="s">
        <v>15</v>
      </c>
      <c r="E1795">
        <v>67</v>
      </c>
      <c r="F1795" s="6">
        <v>4000</v>
      </c>
      <c r="G1795" s="6">
        <v>3000</v>
      </c>
      <c r="H1795" s="6">
        <v>268000</v>
      </c>
      <c r="I1795" s="5">
        <f t="shared" si="28"/>
        <v>67000</v>
      </c>
    </row>
    <row r="1796" spans="1:9" x14ac:dyDescent="0.3">
      <c r="A1796" t="s">
        <v>191</v>
      </c>
      <c r="B1796" t="s">
        <v>9</v>
      </c>
      <c r="C1796" t="s">
        <v>17</v>
      </c>
      <c r="D1796" t="s">
        <v>11</v>
      </c>
      <c r="E1796">
        <v>79</v>
      </c>
      <c r="F1796" s="6">
        <v>3500</v>
      </c>
      <c r="G1796" s="6">
        <v>2500</v>
      </c>
      <c r="H1796" s="6">
        <v>276500</v>
      </c>
      <c r="I1796" s="5">
        <f t="shared" si="28"/>
        <v>79000</v>
      </c>
    </row>
    <row r="1797" spans="1:9" x14ac:dyDescent="0.3">
      <c r="A1797" t="s">
        <v>435</v>
      </c>
      <c r="B1797" t="s">
        <v>43</v>
      </c>
      <c r="C1797" t="s">
        <v>10</v>
      </c>
      <c r="D1797" t="s">
        <v>11</v>
      </c>
      <c r="E1797">
        <v>139</v>
      </c>
      <c r="F1797" s="6">
        <v>3500</v>
      </c>
      <c r="G1797" s="6">
        <v>2500</v>
      </c>
      <c r="H1797" s="6">
        <v>486500</v>
      </c>
      <c r="I1797" s="5">
        <f t="shared" si="28"/>
        <v>139000</v>
      </c>
    </row>
    <row r="1798" spans="1:9" x14ac:dyDescent="0.3">
      <c r="A1798" t="s">
        <v>634</v>
      </c>
      <c r="B1798" t="s">
        <v>23</v>
      </c>
      <c r="C1798" t="s">
        <v>17</v>
      </c>
      <c r="D1798" t="s">
        <v>11</v>
      </c>
      <c r="E1798">
        <v>53</v>
      </c>
      <c r="F1798" s="6">
        <v>3500</v>
      </c>
      <c r="G1798" s="6">
        <v>2500</v>
      </c>
      <c r="H1798" s="6">
        <v>185500</v>
      </c>
      <c r="I1798" s="5">
        <f t="shared" si="28"/>
        <v>53000</v>
      </c>
    </row>
    <row r="1799" spans="1:9" x14ac:dyDescent="0.3">
      <c r="A1799" t="s">
        <v>548</v>
      </c>
      <c r="B1799" t="s">
        <v>30</v>
      </c>
      <c r="C1799" t="s">
        <v>17</v>
      </c>
      <c r="D1799" t="s">
        <v>34</v>
      </c>
      <c r="E1799">
        <v>110</v>
      </c>
      <c r="F1799" s="6">
        <v>10000</v>
      </c>
      <c r="G1799" s="6">
        <v>7000</v>
      </c>
      <c r="H1799" s="6">
        <v>1100000</v>
      </c>
      <c r="I1799" s="5">
        <f t="shared" si="28"/>
        <v>330000</v>
      </c>
    </row>
    <row r="1800" spans="1:9" x14ac:dyDescent="0.3">
      <c r="A1800" t="s">
        <v>503</v>
      </c>
      <c r="B1800" t="s">
        <v>20</v>
      </c>
      <c r="C1800" t="s">
        <v>14</v>
      </c>
      <c r="D1800" t="s">
        <v>15</v>
      </c>
      <c r="E1800">
        <v>81</v>
      </c>
      <c r="F1800" s="6">
        <v>4000</v>
      </c>
      <c r="G1800" s="6">
        <v>3000</v>
      </c>
      <c r="H1800" s="6">
        <v>324000</v>
      </c>
      <c r="I1800" s="5">
        <f t="shared" si="28"/>
        <v>81000</v>
      </c>
    </row>
    <row r="1801" spans="1:9" x14ac:dyDescent="0.3">
      <c r="A1801" t="s">
        <v>431</v>
      </c>
      <c r="B1801" t="s">
        <v>9</v>
      </c>
      <c r="C1801" t="s">
        <v>17</v>
      </c>
      <c r="D1801" t="s">
        <v>24</v>
      </c>
      <c r="E1801">
        <v>147</v>
      </c>
      <c r="F1801" s="6">
        <v>1200</v>
      </c>
      <c r="G1801" s="6">
        <v>800</v>
      </c>
      <c r="H1801" s="6">
        <v>176400</v>
      </c>
      <c r="I1801" s="5">
        <f t="shared" si="28"/>
        <v>58800</v>
      </c>
    </row>
    <row r="1802" spans="1:9" x14ac:dyDescent="0.3">
      <c r="A1802" t="s">
        <v>94</v>
      </c>
      <c r="B1802" t="s">
        <v>40</v>
      </c>
      <c r="C1802" t="s">
        <v>26</v>
      </c>
      <c r="D1802" t="s">
        <v>31</v>
      </c>
      <c r="E1802">
        <v>57</v>
      </c>
      <c r="F1802" s="6">
        <v>1000</v>
      </c>
      <c r="G1802" s="6">
        <v>700</v>
      </c>
      <c r="H1802" s="6">
        <v>57000</v>
      </c>
      <c r="I1802" s="5">
        <f t="shared" si="28"/>
        <v>17100</v>
      </c>
    </row>
    <row r="1803" spans="1:9" x14ac:dyDescent="0.3">
      <c r="A1803" t="s">
        <v>546</v>
      </c>
      <c r="B1803" t="s">
        <v>58</v>
      </c>
      <c r="C1803" t="s">
        <v>17</v>
      </c>
      <c r="D1803" t="s">
        <v>11</v>
      </c>
      <c r="E1803">
        <v>68</v>
      </c>
      <c r="F1803" s="6">
        <v>3500</v>
      </c>
      <c r="G1803" s="6">
        <v>2500</v>
      </c>
      <c r="H1803" s="6">
        <v>238000</v>
      </c>
      <c r="I1803" s="5">
        <f t="shared" si="28"/>
        <v>68000</v>
      </c>
    </row>
    <row r="1804" spans="1:9" x14ac:dyDescent="0.3">
      <c r="A1804" t="s">
        <v>107</v>
      </c>
      <c r="B1804" t="s">
        <v>9</v>
      </c>
      <c r="C1804" t="s">
        <v>10</v>
      </c>
      <c r="D1804" t="s">
        <v>15</v>
      </c>
      <c r="E1804">
        <v>75</v>
      </c>
      <c r="F1804" s="6">
        <v>4000</v>
      </c>
      <c r="G1804" s="6">
        <v>3000</v>
      </c>
      <c r="H1804" s="6">
        <v>300000</v>
      </c>
      <c r="I1804" s="5">
        <f t="shared" si="28"/>
        <v>75000</v>
      </c>
    </row>
    <row r="1805" spans="1:9" x14ac:dyDescent="0.3">
      <c r="A1805" t="s">
        <v>653</v>
      </c>
      <c r="B1805" t="s">
        <v>28</v>
      </c>
      <c r="C1805" t="s">
        <v>14</v>
      </c>
      <c r="D1805" t="s">
        <v>11</v>
      </c>
      <c r="E1805">
        <v>90</v>
      </c>
      <c r="F1805" s="6">
        <v>3500</v>
      </c>
      <c r="G1805" s="6">
        <v>2500</v>
      </c>
      <c r="H1805" s="6">
        <v>315000</v>
      </c>
      <c r="I1805" s="5">
        <f t="shared" si="28"/>
        <v>90000</v>
      </c>
    </row>
    <row r="1806" spans="1:9" x14ac:dyDescent="0.3">
      <c r="A1806" t="s">
        <v>248</v>
      </c>
      <c r="B1806" t="s">
        <v>40</v>
      </c>
      <c r="C1806" t="s">
        <v>10</v>
      </c>
      <c r="D1806" t="s">
        <v>34</v>
      </c>
      <c r="E1806">
        <v>72</v>
      </c>
      <c r="F1806" s="6">
        <v>10000</v>
      </c>
      <c r="G1806" s="6">
        <v>7000</v>
      </c>
      <c r="H1806" s="6">
        <v>720000</v>
      </c>
      <c r="I1806" s="5">
        <f t="shared" si="28"/>
        <v>216000</v>
      </c>
    </row>
    <row r="1807" spans="1:9" x14ac:dyDescent="0.3">
      <c r="A1807" t="s">
        <v>266</v>
      </c>
      <c r="B1807" t="s">
        <v>20</v>
      </c>
      <c r="C1807" t="s">
        <v>14</v>
      </c>
      <c r="D1807" t="s">
        <v>21</v>
      </c>
      <c r="E1807">
        <v>97</v>
      </c>
      <c r="F1807" s="6">
        <v>600</v>
      </c>
      <c r="G1807" s="6">
        <v>400</v>
      </c>
      <c r="H1807" s="6">
        <v>58200</v>
      </c>
      <c r="I1807" s="5">
        <f t="shared" si="28"/>
        <v>19400</v>
      </c>
    </row>
    <row r="1808" spans="1:9" x14ac:dyDescent="0.3">
      <c r="A1808" t="s">
        <v>149</v>
      </c>
      <c r="B1808" t="s">
        <v>30</v>
      </c>
      <c r="C1808" t="s">
        <v>17</v>
      </c>
      <c r="D1808" t="s">
        <v>11</v>
      </c>
      <c r="E1808">
        <v>124</v>
      </c>
      <c r="F1808" s="6">
        <v>3500</v>
      </c>
      <c r="G1808" s="6">
        <v>2500</v>
      </c>
      <c r="H1808" s="6">
        <v>434000</v>
      </c>
      <c r="I1808" s="5">
        <f t="shared" si="28"/>
        <v>124000</v>
      </c>
    </row>
    <row r="1809" spans="1:9" x14ac:dyDescent="0.3">
      <c r="A1809" t="s">
        <v>315</v>
      </c>
      <c r="B1809" t="s">
        <v>43</v>
      </c>
      <c r="C1809" t="s">
        <v>10</v>
      </c>
      <c r="D1809" t="s">
        <v>24</v>
      </c>
      <c r="E1809">
        <v>90</v>
      </c>
      <c r="F1809" s="6">
        <v>1200</v>
      </c>
      <c r="G1809" s="6">
        <v>800</v>
      </c>
      <c r="H1809" s="6">
        <v>108000</v>
      </c>
      <c r="I1809" s="5">
        <f t="shared" si="28"/>
        <v>36000</v>
      </c>
    </row>
    <row r="1810" spans="1:9" x14ac:dyDescent="0.3">
      <c r="A1810" t="s">
        <v>310</v>
      </c>
      <c r="B1810" t="s">
        <v>9</v>
      </c>
      <c r="C1810" t="s">
        <v>14</v>
      </c>
      <c r="D1810" t="s">
        <v>24</v>
      </c>
      <c r="E1810">
        <v>52</v>
      </c>
      <c r="F1810" s="6">
        <v>1200</v>
      </c>
      <c r="G1810" s="6">
        <v>800</v>
      </c>
      <c r="H1810" s="6">
        <v>62400</v>
      </c>
      <c r="I1810" s="5">
        <f t="shared" si="28"/>
        <v>20800</v>
      </c>
    </row>
    <row r="1811" spans="1:9" x14ac:dyDescent="0.3">
      <c r="A1811" t="s">
        <v>292</v>
      </c>
      <c r="B1811" t="s">
        <v>43</v>
      </c>
      <c r="C1811" t="s">
        <v>17</v>
      </c>
      <c r="D1811" t="s">
        <v>15</v>
      </c>
      <c r="E1811">
        <v>70</v>
      </c>
      <c r="F1811" s="6">
        <v>4000</v>
      </c>
      <c r="G1811" s="6">
        <v>3000</v>
      </c>
      <c r="H1811" s="6">
        <v>280000</v>
      </c>
      <c r="I1811" s="5">
        <f t="shared" si="28"/>
        <v>70000</v>
      </c>
    </row>
    <row r="1812" spans="1:9" x14ac:dyDescent="0.3">
      <c r="A1812" t="s">
        <v>540</v>
      </c>
      <c r="B1812" t="s">
        <v>20</v>
      </c>
      <c r="C1812" t="s">
        <v>14</v>
      </c>
      <c r="D1812" t="s">
        <v>21</v>
      </c>
      <c r="E1812">
        <v>147</v>
      </c>
      <c r="F1812" s="6">
        <v>600</v>
      </c>
      <c r="G1812" s="6">
        <v>400</v>
      </c>
      <c r="H1812" s="6">
        <v>88200</v>
      </c>
      <c r="I1812" s="5">
        <f t="shared" si="28"/>
        <v>29400</v>
      </c>
    </row>
    <row r="1813" spans="1:9" x14ac:dyDescent="0.3">
      <c r="A1813" t="s">
        <v>225</v>
      </c>
      <c r="B1813" t="s">
        <v>13</v>
      </c>
      <c r="C1813" t="s">
        <v>17</v>
      </c>
      <c r="D1813" t="s">
        <v>15</v>
      </c>
      <c r="E1813">
        <v>134</v>
      </c>
      <c r="F1813" s="6">
        <v>4000</v>
      </c>
      <c r="G1813" s="6">
        <v>3000</v>
      </c>
      <c r="H1813" s="6">
        <v>536000</v>
      </c>
      <c r="I1813" s="5">
        <f t="shared" si="28"/>
        <v>134000</v>
      </c>
    </row>
    <row r="1814" spans="1:9" x14ac:dyDescent="0.3">
      <c r="A1814" t="s">
        <v>490</v>
      </c>
      <c r="B1814" t="s">
        <v>9</v>
      </c>
      <c r="C1814" t="s">
        <v>10</v>
      </c>
      <c r="D1814" t="s">
        <v>18</v>
      </c>
      <c r="E1814">
        <v>135</v>
      </c>
      <c r="F1814" s="6">
        <v>6000</v>
      </c>
      <c r="G1814" s="6">
        <v>4000</v>
      </c>
      <c r="H1814" s="6">
        <v>810000</v>
      </c>
      <c r="I1814" s="5">
        <f t="shared" si="28"/>
        <v>270000</v>
      </c>
    </row>
    <row r="1815" spans="1:9" x14ac:dyDescent="0.3">
      <c r="A1815" t="s">
        <v>404</v>
      </c>
      <c r="B1815" t="s">
        <v>20</v>
      </c>
      <c r="C1815" t="s">
        <v>14</v>
      </c>
      <c r="D1815" t="s">
        <v>31</v>
      </c>
      <c r="E1815">
        <v>146</v>
      </c>
      <c r="F1815" s="6">
        <v>1000</v>
      </c>
      <c r="G1815" s="6">
        <v>700</v>
      </c>
      <c r="H1815" s="6">
        <v>146000</v>
      </c>
      <c r="I1815" s="5">
        <f t="shared" si="28"/>
        <v>43800</v>
      </c>
    </row>
    <row r="1816" spans="1:9" x14ac:dyDescent="0.3">
      <c r="A1816" t="s">
        <v>610</v>
      </c>
      <c r="B1816" t="s">
        <v>13</v>
      </c>
      <c r="C1816" t="s">
        <v>10</v>
      </c>
      <c r="D1816" t="s">
        <v>21</v>
      </c>
      <c r="E1816">
        <v>82</v>
      </c>
      <c r="F1816" s="6">
        <v>600</v>
      </c>
      <c r="G1816" s="6">
        <v>400</v>
      </c>
      <c r="H1816" s="6">
        <v>49200</v>
      </c>
      <c r="I1816" s="5">
        <f t="shared" si="28"/>
        <v>16400</v>
      </c>
    </row>
    <row r="1817" spans="1:9" x14ac:dyDescent="0.3">
      <c r="A1817" t="s">
        <v>390</v>
      </c>
      <c r="B1817" t="s">
        <v>30</v>
      </c>
      <c r="C1817" t="s">
        <v>14</v>
      </c>
      <c r="D1817" t="s">
        <v>18</v>
      </c>
      <c r="E1817">
        <v>59</v>
      </c>
      <c r="F1817" s="6">
        <v>6000</v>
      </c>
      <c r="G1817" s="6">
        <v>4000</v>
      </c>
      <c r="H1817" s="6">
        <v>354000</v>
      </c>
      <c r="I1817" s="5">
        <f t="shared" si="28"/>
        <v>118000</v>
      </c>
    </row>
    <row r="1818" spans="1:9" x14ac:dyDescent="0.3">
      <c r="A1818" t="s">
        <v>207</v>
      </c>
      <c r="B1818" t="s">
        <v>23</v>
      </c>
      <c r="C1818" t="s">
        <v>26</v>
      </c>
      <c r="D1818" t="s">
        <v>31</v>
      </c>
      <c r="E1818">
        <v>66</v>
      </c>
      <c r="F1818" s="6">
        <v>1000</v>
      </c>
      <c r="G1818" s="6">
        <v>700</v>
      </c>
      <c r="H1818" s="6">
        <v>66000</v>
      </c>
      <c r="I1818" s="5">
        <f t="shared" si="28"/>
        <v>19800</v>
      </c>
    </row>
    <row r="1819" spans="1:9" x14ac:dyDescent="0.3">
      <c r="A1819" t="s">
        <v>402</v>
      </c>
      <c r="B1819" t="s">
        <v>30</v>
      </c>
      <c r="C1819" t="s">
        <v>17</v>
      </c>
      <c r="D1819" t="s">
        <v>34</v>
      </c>
      <c r="E1819">
        <v>100</v>
      </c>
      <c r="F1819" s="6">
        <v>10000</v>
      </c>
      <c r="G1819" s="6">
        <v>7000</v>
      </c>
      <c r="H1819" s="6">
        <v>1000000</v>
      </c>
      <c r="I1819" s="5">
        <f t="shared" si="28"/>
        <v>300000</v>
      </c>
    </row>
    <row r="1820" spans="1:9" x14ac:dyDescent="0.3">
      <c r="A1820" t="s">
        <v>389</v>
      </c>
      <c r="B1820" t="s">
        <v>30</v>
      </c>
      <c r="C1820" t="s">
        <v>14</v>
      </c>
      <c r="D1820" t="s">
        <v>11</v>
      </c>
      <c r="E1820">
        <v>107</v>
      </c>
      <c r="F1820" s="6">
        <v>3500</v>
      </c>
      <c r="G1820" s="6">
        <v>2500</v>
      </c>
      <c r="H1820" s="6">
        <v>374500</v>
      </c>
      <c r="I1820" s="5">
        <f t="shared" si="28"/>
        <v>107000</v>
      </c>
    </row>
    <row r="1821" spans="1:9" x14ac:dyDescent="0.3">
      <c r="A1821" t="s">
        <v>341</v>
      </c>
      <c r="B1821" t="s">
        <v>9</v>
      </c>
      <c r="C1821" t="s">
        <v>17</v>
      </c>
      <c r="D1821" t="s">
        <v>18</v>
      </c>
      <c r="E1821">
        <v>78</v>
      </c>
      <c r="F1821" s="6">
        <v>6000</v>
      </c>
      <c r="G1821" s="6">
        <v>4000</v>
      </c>
      <c r="H1821" s="6">
        <v>468000</v>
      </c>
      <c r="I1821" s="5">
        <f t="shared" si="28"/>
        <v>156000</v>
      </c>
    </row>
    <row r="1822" spans="1:9" x14ac:dyDescent="0.3">
      <c r="A1822" t="s">
        <v>556</v>
      </c>
      <c r="B1822" t="s">
        <v>36</v>
      </c>
      <c r="C1822" t="s">
        <v>17</v>
      </c>
      <c r="D1822" t="s">
        <v>21</v>
      </c>
      <c r="E1822">
        <v>125</v>
      </c>
      <c r="F1822" s="6">
        <v>600</v>
      </c>
      <c r="G1822" s="6">
        <v>400</v>
      </c>
      <c r="H1822" s="6">
        <v>75000</v>
      </c>
      <c r="I1822" s="5">
        <f t="shared" si="28"/>
        <v>25000</v>
      </c>
    </row>
    <row r="1823" spans="1:9" x14ac:dyDescent="0.3">
      <c r="A1823" t="s">
        <v>231</v>
      </c>
      <c r="B1823" t="s">
        <v>30</v>
      </c>
      <c r="C1823" t="s">
        <v>17</v>
      </c>
      <c r="D1823" t="s">
        <v>31</v>
      </c>
      <c r="E1823">
        <v>103</v>
      </c>
      <c r="F1823" s="6">
        <v>1000</v>
      </c>
      <c r="G1823" s="6">
        <v>700</v>
      </c>
      <c r="H1823" s="6">
        <v>103000</v>
      </c>
      <c r="I1823" s="5">
        <f t="shared" si="28"/>
        <v>30900</v>
      </c>
    </row>
    <row r="1824" spans="1:9" x14ac:dyDescent="0.3">
      <c r="A1824" t="s">
        <v>12</v>
      </c>
      <c r="B1824" t="s">
        <v>58</v>
      </c>
      <c r="C1824" t="s">
        <v>26</v>
      </c>
      <c r="D1824" t="s">
        <v>34</v>
      </c>
      <c r="E1824">
        <v>103</v>
      </c>
      <c r="F1824" s="6">
        <v>10000</v>
      </c>
      <c r="G1824" s="6">
        <v>7000</v>
      </c>
      <c r="H1824" s="6">
        <v>1030000</v>
      </c>
      <c r="I1824" s="5">
        <f t="shared" si="28"/>
        <v>309000</v>
      </c>
    </row>
    <row r="1825" spans="1:9" x14ac:dyDescent="0.3">
      <c r="A1825" t="s">
        <v>405</v>
      </c>
      <c r="B1825" t="s">
        <v>58</v>
      </c>
      <c r="C1825" t="s">
        <v>14</v>
      </c>
      <c r="D1825" t="s">
        <v>11</v>
      </c>
      <c r="E1825">
        <v>59</v>
      </c>
      <c r="F1825" s="6">
        <v>3500</v>
      </c>
      <c r="G1825" s="6">
        <v>2500</v>
      </c>
      <c r="H1825" s="6">
        <v>206500</v>
      </c>
      <c r="I1825" s="5">
        <f t="shared" si="28"/>
        <v>59000</v>
      </c>
    </row>
    <row r="1826" spans="1:9" x14ac:dyDescent="0.3">
      <c r="A1826" t="s">
        <v>612</v>
      </c>
      <c r="B1826" t="s">
        <v>9</v>
      </c>
      <c r="C1826" t="s">
        <v>10</v>
      </c>
      <c r="D1826" t="s">
        <v>21</v>
      </c>
      <c r="E1826">
        <v>122</v>
      </c>
      <c r="F1826" s="6">
        <v>600</v>
      </c>
      <c r="G1826" s="6">
        <v>400</v>
      </c>
      <c r="H1826" s="6">
        <v>73200</v>
      </c>
      <c r="I1826" s="5">
        <f t="shared" si="28"/>
        <v>24400</v>
      </c>
    </row>
    <row r="1827" spans="1:9" x14ac:dyDescent="0.3">
      <c r="A1827" t="s">
        <v>365</v>
      </c>
      <c r="B1827" t="s">
        <v>36</v>
      </c>
      <c r="C1827" t="s">
        <v>14</v>
      </c>
      <c r="D1827" t="s">
        <v>24</v>
      </c>
      <c r="E1827">
        <v>77</v>
      </c>
      <c r="F1827" s="6">
        <v>1200</v>
      </c>
      <c r="G1827" s="6">
        <v>800</v>
      </c>
      <c r="H1827" s="6">
        <v>92400</v>
      </c>
      <c r="I1827" s="5">
        <f t="shared" si="28"/>
        <v>30800</v>
      </c>
    </row>
    <row r="1828" spans="1:9" x14ac:dyDescent="0.3">
      <c r="A1828" t="s">
        <v>538</v>
      </c>
      <c r="B1828" t="s">
        <v>23</v>
      </c>
      <c r="C1828" t="s">
        <v>17</v>
      </c>
      <c r="D1828" t="s">
        <v>21</v>
      </c>
      <c r="E1828">
        <v>67</v>
      </c>
      <c r="F1828" s="6">
        <v>600</v>
      </c>
      <c r="G1828" s="6">
        <v>400</v>
      </c>
      <c r="H1828" s="6">
        <v>40200</v>
      </c>
      <c r="I1828" s="5">
        <f t="shared" si="28"/>
        <v>13400</v>
      </c>
    </row>
    <row r="1829" spans="1:9" x14ac:dyDescent="0.3">
      <c r="A1829" t="s">
        <v>693</v>
      </c>
      <c r="B1829" t="s">
        <v>20</v>
      </c>
      <c r="C1829" t="s">
        <v>26</v>
      </c>
      <c r="D1829" t="s">
        <v>34</v>
      </c>
      <c r="E1829">
        <v>57</v>
      </c>
      <c r="F1829" s="6">
        <v>10000</v>
      </c>
      <c r="G1829" s="6">
        <v>7000</v>
      </c>
      <c r="H1829" s="6">
        <v>570000</v>
      </c>
      <c r="I1829" s="5">
        <f t="shared" si="28"/>
        <v>171000</v>
      </c>
    </row>
    <row r="1830" spans="1:9" x14ac:dyDescent="0.3">
      <c r="A1830" t="s">
        <v>155</v>
      </c>
      <c r="B1830" t="s">
        <v>9</v>
      </c>
      <c r="C1830" t="s">
        <v>17</v>
      </c>
      <c r="D1830" t="s">
        <v>11</v>
      </c>
      <c r="E1830">
        <v>107</v>
      </c>
      <c r="F1830" s="6">
        <v>3500</v>
      </c>
      <c r="G1830" s="6">
        <v>2500</v>
      </c>
      <c r="H1830" s="6">
        <v>374500</v>
      </c>
      <c r="I1830" s="5">
        <f t="shared" si="28"/>
        <v>107000</v>
      </c>
    </row>
    <row r="1831" spans="1:9" x14ac:dyDescent="0.3">
      <c r="A1831" t="s">
        <v>477</v>
      </c>
      <c r="B1831" t="s">
        <v>9</v>
      </c>
      <c r="C1831" t="s">
        <v>26</v>
      </c>
      <c r="D1831" t="s">
        <v>11</v>
      </c>
      <c r="E1831">
        <v>120</v>
      </c>
      <c r="F1831" s="6">
        <v>3500</v>
      </c>
      <c r="G1831" s="6">
        <v>2500</v>
      </c>
      <c r="H1831" s="6">
        <v>420000</v>
      </c>
      <c r="I1831" s="5">
        <f t="shared" si="28"/>
        <v>120000</v>
      </c>
    </row>
    <row r="1832" spans="1:9" x14ac:dyDescent="0.3">
      <c r="A1832" t="s">
        <v>585</v>
      </c>
      <c r="B1832" t="s">
        <v>43</v>
      </c>
      <c r="C1832" t="s">
        <v>10</v>
      </c>
      <c r="D1832" t="s">
        <v>18</v>
      </c>
      <c r="E1832">
        <v>129</v>
      </c>
      <c r="F1832" s="6">
        <v>6000</v>
      </c>
      <c r="G1832" s="6">
        <v>4000</v>
      </c>
      <c r="H1832" s="6">
        <v>774000</v>
      </c>
      <c r="I1832" s="5">
        <f t="shared" si="28"/>
        <v>258000</v>
      </c>
    </row>
    <row r="1833" spans="1:9" x14ac:dyDescent="0.3">
      <c r="A1833" t="s">
        <v>589</v>
      </c>
      <c r="B1833" t="s">
        <v>28</v>
      </c>
      <c r="C1833" t="s">
        <v>17</v>
      </c>
      <c r="D1833" t="s">
        <v>15</v>
      </c>
      <c r="E1833">
        <v>99</v>
      </c>
      <c r="F1833" s="6">
        <v>4000</v>
      </c>
      <c r="G1833" s="6">
        <v>3000</v>
      </c>
      <c r="H1833" s="6">
        <v>396000</v>
      </c>
      <c r="I1833" s="5">
        <f t="shared" si="28"/>
        <v>99000</v>
      </c>
    </row>
    <row r="1834" spans="1:9" x14ac:dyDescent="0.3">
      <c r="A1834" t="s">
        <v>8</v>
      </c>
      <c r="B1834" t="s">
        <v>43</v>
      </c>
      <c r="C1834" t="s">
        <v>26</v>
      </c>
      <c r="D1834" t="s">
        <v>11</v>
      </c>
      <c r="E1834">
        <v>57</v>
      </c>
      <c r="F1834" s="6">
        <v>3500</v>
      </c>
      <c r="G1834" s="6">
        <v>2500</v>
      </c>
      <c r="H1834" s="6">
        <v>199500</v>
      </c>
      <c r="I1834" s="5">
        <f t="shared" si="28"/>
        <v>57000</v>
      </c>
    </row>
    <row r="1835" spans="1:9" x14ac:dyDescent="0.3">
      <c r="A1835" t="s">
        <v>161</v>
      </c>
      <c r="B1835" t="s">
        <v>58</v>
      </c>
      <c r="C1835" t="s">
        <v>10</v>
      </c>
      <c r="D1835" t="s">
        <v>24</v>
      </c>
      <c r="E1835">
        <v>105</v>
      </c>
      <c r="F1835" s="6">
        <v>1200</v>
      </c>
      <c r="G1835" s="6">
        <v>800</v>
      </c>
      <c r="H1835" s="6">
        <v>126000</v>
      </c>
      <c r="I1835" s="5">
        <f t="shared" si="28"/>
        <v>42000</v>
      </c>
    </row>
    <row r="1836" spans="1:9" x14ac:dyDescent="0.3">
      <c r="A1836" t="s">
        <v>536</v>
      </c>
      <c r="B1836" t="s">
        <v>43</v>
      </c>
      <c r="C1836" t="s">
        <v>17</v>
      </c>
      <c r="D1836" t="s">
        <v>24</v>
      </c>
      <c r="E1836">
        <v>71</v>
      </c>
      <c r="F1836" s="6">
        <v>1200</v>
      </c>
      <c r="G1836" s="6">
        <v>800</v>
      </c>
      <c r="H1836" s="6">
        <v>85200</v>
      </c>
      <c r="I1836" s="5">
        <f t="shared" si="28"/>
        <v>28400</v>
      </c>
    </row>
    <row r="1837" spans="1:9" x14ac:dyDescent="0.3">
      <c r="A1837" t="s">
        <v>303</v>
      </c>
      <c r="B1837" t="s">
        <v>9</v>
      </c>
      <c r="C1837" t="s">
        <v>10</v>
      </c>
      <c r="D1837" t="s">
        <v>18</v>
      </c>
      <c r="E1837">
        <v>86</v>
      </c>
      <c r="F1837" s="6">
        <v>6000</v>
      </c>
      <c r="G1837" s="6">
        <v>4000</v>
      </c>
      <c r="H1837" s="6">
        <v>516000</v>
      </c>
      <c r="I1837" s="5">
        <f t="shared" si="28"/>
        <v>172000</v>
      </c>
    </row>
    <row r="1838" spans="1:9" x14ac:dyDescent="0.3">
      <c r="A1838" t="s">
        <v>533</v>
      </c>
      <c r="B1838" t="s">
        <v>23</v>
      </c>
      <c r="C1838" t="s">
        <v>26</v>
      </c>
      <c r="D1838" t="s">
        <v>21</v>
      </c>
      <c r="E1838">
        <v>121</v>
      </c>
      <c r="F1838" s="6">
        <v>600</v>
      </c>
      <c r="G1838" s="6">
        <v>400</v>
      </c>
      <c r="H1838" s="6">
        <v>72600</v>
      </c>
      <c r="I1838" s="5">
        <f t="shared" si="28"/>
        <v>24200</v>
      </c>
    </row>
    <row r="1839" spans="1:9" x14ac:dyDescent="0.3">
      <c r="A1839" t="s">
        <v>119</v>
      </c>
      <c r="B1839" t="s">
        <v>13</v>
      </c>
      <c r="C1839" t="s">
        <v>14</v>
      </c>
      <c r="D1839" t="s">
        <v>31</v>
      </c>
      <c r="E1839">
        <v>61</v>
      </c>
      <c r="F1839" s="6">
        <v>1000</v>
      </c>
      <c r="G1839" s="6">
        <v>700</v>
      </c>
      <c r="H1839" s="6">
        <v>61000</v>
      </c>
      <c r="I1839" s="5">
        <f t="shared" si="28"/>
        <v>18300</v>
      </c>
    </row>
    <row r="1840" spans="1:9" x14ac:dyDescent="0.3">
      <c r="A1840" t="s">
        <v>169</v>
      </c>
      <c r="B1840" t="s">
        <v>58</v>
      </c>
      <c r="C1840" t="s">
        <v>14</v>
      </c>
      <c r="D1840" t="s">
        <v>34</v>
      </c>
      <c r="E1840">
        <v>51</v>
      </c>
      <c r="F1840" s="6">
        <v>10000</v>
      </c>
      <c r="G1840" s="6">
        <v>7000</v>
      </c>
      <c r="H1840" s="6">
        <v>510000</v>
      </c>
      <c r="I1840" s="5">
        <f t="shared" si="28"/>
        <v>153000</v>
      </c>
    </row>
    <row r="1841" spans="1:9" x14ac:dyDescent="0.3">
      <c r="A1841" t="s">
        <v>114</v>
      </c>
      <c r="B1841" t="s">
        <v>43</v>
      </c>
      <c r="C1841" t="s">
        <v>26</v>
      </c>
      <c r="D1841" t="s">
        <v>34</v>
      </c>
      <c r="E1841">
        <v>125</v>
      </c>
      <c r="F1841" s="6">
        <v>10000</v>
      </c>
      <c r="G1841" s="6">
        <v>7000</v>
      </c>
      <c r="H1841" s="6">
        <v>1250000</v>
      </c>
      <c r="I1841" s="5">
        <f t="shared" si="28"/>
        <v>375000</v>
      </c>
    </row>
    <row r="1842" spans="1:9" x14ac:dyDescent="0.3">
      <c r="A1842" t="s">
        <v>557</v>
      </c>
      <c r="B1842" t="s">
        <v>43</v>
      </c>
      <c r="C1842" t="s">
        <v>26</v>
      </c>
      <c r="D1842" t="s">
        <v>11</v>
      </c>
      <c r="E1842">
        <v>56</v>
      </c>
      <c r="F1842" s="6">
        <v>3500</v>
      </c>
      <c r="G1842" s="6">
        <v>2500</v>
      </c>
      <c r="H1842" s="6">
        <v>196000</v>
      </c>
      <c r="I1842" s="5">
        <f t="shared" si="28"/>
        <v>56000</v>
      </c>
    </row>
    <row r="1843" spans="1:9" x14ac:dyDescent="0.3">
      <c r="A1843" t="s">
        <v>56</v>
      </c>
      <c r="B1843" t="s">
        <v>28</v>
      </c>
      <c r="C1843" t="s">
        <v>17</v>
      </c>
      <c r="D1843" t="s">
        <v>18</v>
      </c>
      <c r="E1843">
        <v>79</v>
      </c>
      <c r="F1843" s="6">
        <v>6000</v>
      </c>
      <c r="G1843" s="6">
        <v>4000</v>
      </c>
      <c r="H1843" s="6">
        <v>474000</v>
      </c>
      <c r="I1843" s="5">
        <f t="shared" si="28"/>
        <v>158000</v>
      </c>
    </row>
    <row r="1844" spans="1:9" x14ac:dyDescent="0.3">
      <c r="A1844" t="s">
        <v>181</v>
      </c>
      <c r="B1844" t="s">
        <v>23</v>
      </c>
      <c r="C1844" t="s">
        <v>26</v>
      </c>
      <c r="D1844" t="s">
        <v>34</v>
      </c>
      <c r="E1844">
        <v>89</v>
      </c>
      <c r="F1844" s="6">
        <v>10000</v>
      </c>
      <c r="G1844" s="6">
        <v>7000</v>
      </c>
      <c r="H1844" s="6">
        <v>890000</v>
      </c>
      <c r="I1844" s="5">
        <f t="shared" si="28"/>
        <v>267000</v>
      </c>
    </row>
    <row r="1845" spans="1:9" x14ac:dyDescent="0.3">
      <c r="A1845" t="s">
        <v>297</v>
      </c>
      <c r="B1845" t="s">
        <v>13</v>
      </c>
      <c r="C1845" t="s">
        <v>26</v>
      </c>
      <c r="D1845" t="s">
        <v>34</v>
      </c>
      <c r="E1845">
        <v>66</v>
      </c>
      <c r="F1845" s="6">
        <v>10000</v>
      </c>
      <c r="G1845" s="6">
        <v>7000</v>
      </c>
      <c r="H1845" s="6">
        <v>660000</v>
      </c>
      <c r="I1845" s="5">
        <f t="shared" si="28"/>
        <v>198000</v>
      </c>
    </row>
    <row r="1846" spans="1:9" x14ac:dyDescent="0.3">
      <c r="A1846" t="s">
        <v>383</v>
      </c>
      <c r="B1846" t="s">
        <v>40</v>
      </c>
      <c r="C1846" t="s">
        <v>14</v>
      </c>
      <c r="D1846" t="s">
        <v>15</v>
      </c>
      <c r="E1846">
        <v>125</v>
      </c>
      <c r="F1846" s="6">
        <v>4000</v>
      </c>
      <c r="G1846" s="6">
        <v>3000</v>
      </c>
      <c r="H1846" s="6">
        <v>500000</v>
      </c>
      <c r="I1846" s="5">
        <f t="shared" si="28"/>
        <v>125000</v>
      </c>
    </row>
    <row r="1847" spans="1:9" x14ac:dyDescent="0.3">
      <c r="A1847" t="s">
        <v>12</v>
      </c>
      <c r="B1847" t="s">
        <v>58</v>
      </c>
      <c r="C1847" t="s">
        <v>10</v>
      </c>
      <c r="D1847" t="s">
        <v>11</v>
      </c>
      <c r="E1847">
        <v>86</v>
      </c>
      <c r="F1847" s="6">
        <v>3500</v>
      </c>
      <c r="G1847" s="6">
        <v>2500</v>
      </c>
      <c r="H1847" s="6">
        <v>301000</v>
      </c>
      <c r="I1847" s="5">
        <f t="shared" si="28"/>
        <v>86000</v>
      </c>
    </row>
    <row r="1848" spans="1:9" x14ac:dyDescent="0.3">
      <c r="A1848" t="s">
        <v>504</v>
      </c>
      <c r="B1848" t="s">
        <v>23</v>
      </c>
      <c r="C1848" t="s">
        <v>10</v>
      </c>
      <c r="D1848" t="s">
        <v>18</v>
      </c>
      <c r="E1848">
        <v>147</v>
      </c>
      <c r="F1848" s="6">
        <v>6000</v>
      </c>
      <c r="G1848" s="6">
        <v>4000</v>
      </c>
      <c r="H1848" s="6">
        <v>882000</v>
      </c>
      <c r="I1848" s="5">
        <f t="shared" si="28"/>
        <v>294000</v>
      </c>
    </row>
    <row r="1849" spans="1:9" x14ac:dyDescent="0.3">
      <c r="A1849" t="s">
        <v>264</v>
      </c>
      <c r="B1849" t="s">
        <v>58</v>
      </c>
      <c r="C1849" t="s">
        <v>17</v>
      </c>
      <c r="D1849" t="s">
        <v>24</v>
      </c>
      <c r="E1849">
        <v>53</v>
      </c>
      <c r="F1849" s="6">
        <v>1200</v>
      </c>
      <c r="G1849" s="6">
        <v>800</v>
      </c>
      <c r="H1849" s="6">
        <v>63600</v>
      </c>
      <c r="I1849" s="5">
        <f t="shared" si="28"/>
        <v>21200</v>
      </c>
    </row>
    <row r="1850" spans="1:9" x14ac:dyDescent="0.3">
      <c r="A1850" t="s">
        <v>694</v>
      </c>
      <c r="B1850" t="s">
        <v>23</v>
      </c>
      <c r="C1850" t="s">
        <v>14</v>
      </c>
      <c r="D1850" t="s">
        <v>31</v>
      </c>
      <c r="E1850">
        <v>134</v>
      </c>
      <c r="F1850" s="6">
        <v>1000</v>
      </c>
      <c r="G1850" s="6">
        <v>700</v>
      </c>
      <c r="H1850" s="6">
        <v>134000</v>
      </c>
      <c r="I1850" s="5">
        <f t="shared" si="28"/>
        <v>40200</v>
      </c>
    </row>
    <row r="1851" spans="1:9" x14ac:dyDescent="0.3">
      <c r="A1851" t="s">
        <v>259</v>
      </c>
      <c r="B1851" t="s">
        <v>36</v>
      </c>
      <c r="C1851" t="s">
        <v>10</v>
      </c>
      <c r="D1851" t="s">
        <v>24</v>
      </c>
      <c r="E1851">
        <v>53</v>
      </c>
      <c r="F1851" s="6">
        <v>1200</v>
      </c>
      <c r="G1851" s="6">
        <v>800</v>
      </c>
      <c r="H1851" s="6">
        <v>63600</v>
      </c>
      <c r="I1851" s="5">
        <f t="shared" si="28"/>
        <v>21200</v>
      </c>
    </row>
    <row r="1852" spans="1:9" x14ac:dyDescent="0.3">
      <c r="A1852" t="s">
        <v>57</v>
      </c>
      <c r="B1852" t="s">
        <v>20</v>
      </c>
      <c r="C1852" t="s">
        <v>26</v>
      </c>
      <c r="D1852" t="s">
        <v>11</v>
      </c>
      <c r="E1852">
        <v>150</v>
      </c>
      <c r="F1852" s="6">
        <v>3500</v>
      </c>
      <c r="G1852" s="6">
        <v>2500</v>
      </c>
      <c r="H1852" s="6">
        <v>525000</v>
      </c>
      <c r="I1852" s="5">
        <f t="shared" si="28"/>
        <v>150000</v>
      </c>
    </row>
    <row r="1853" spans="1:9" x14ac:dyDescent="0.3">
      <c r="A1853" t="s">
        <v>583</v>
      </c>
      <c r="B1853" t="s">
        <v>36</v>
      </c>
      <c r="C1853" t="s">
        <v>10</v>
      </c>
      <c r="D1853" t="s">
        <v>21</v>
      </c>
      <c r="E1853">
        <v>110</v>
      </c>
      <c r="F1853" s="6">
        <v>600</v>
      </c>
      <c r="G1853" s="6">
        <v>400</v>
      </c>
      <c r="H1853" s="6">
        <v>66000</v>
      </c>
      <c r="I1853" s="5">
        <f t="shared" si="28"/>
        <v>22000</v>
      </c>
    </row>
    <row r="1854" spans="1:9" x14ac:dyDescent="0.3">
      <c r="A1854" t="s">
        <v>177</v>
      </c>
      <c r="B1854" t="s">
        <v>20</v>
      </c>
      <c r="C1854" t="s">
        <v>10</v>
      </c>
      <c r="D1854" t="s">
        <v>18</v>
      </c>
      <c r="E1854">
        <v>83</v>
      </c>
      <c r="F1854" s="6">
        <v>6000</v>
      </c>
      <c r="G1854" s="6">
        <v>4000</v>
      </c>
      <c r="H1854" s="6">
        <v>498000</v>
      </c>
      <c r="I1854" s="5">
        <f t="shared" si="28"/>
        <v>166000</v>
      </c>
    </row>
    <row r="1855" spans="1:9" x14ac:dyDescent="0.3">
      <c r="A1855" t="s">
        <v>654</v>
      </c>
      <c r="B1855" t="s">
        <v>40</v>
      </c>
      <c r="C1855" t="s">
        <v>10</v>
      </c>
      <c r="D1855" t="s">
        <v>15</v>
      </c>
      <c r="E1855">
        <v>73</v>
      </c>
      <c r="F1855" s="6">
        <v>4000</v>
      </c>
      <c r="G1855" s="6">
        <v>3000</v>
      </c>
      <c r="H1855" s="6">
        <v>292000</v>
      </c>
      <c r="I1855" s="5">
        <f t="shared" si="28"/>
        <v>73000</v>
      </c>
    </row>
    <row r="1856" spans="1:9" x14ac:dyDescent="0.3">
      <c r="A1856" t="s">
        <v>647</v>
      </c>
      <c r="B1856" t="s">
        <v>28</v>
      </c>
      <c r="C1856" t="s">
        <v>10</v>
      </c>
      <c r="D1856" t="s">
        <v>34</v>
      </c>
      <c r="E1856">
        <v>101</v>
      </c>
      <c r="F1856" s="6">
        <v>10000</v>
      </c>
      <c r="G1856" s="6">
        <v>7000</v>
      </c>
      <c r="H1856" s="6">
        <v>1010000</v>
      </c>
      <c r="I1856" s="5">
        <f t="shared" si="28"/>
        <v>303000</v>
      </c>
    </row>
    <row r="1857" spans="1:9" x14ac:dyDescent="0.3">
      <c r="A1857" t="s">
        <v>244</v>
      </c>
      <c r="B1857" t="s">
        <v>58</v>
      </c>
      <c r="C1857" t="s">
        <v>10</v>
      </c>
      <c r="D1857" t="s">
        <v>21</v>
      </c>
      <c r="E1857">
        <v>106</v>
      </c>
      <c r="F1857" s="6">
        <v>600</v>
      </c>
      <c r="G1857" s="6">
        <v>400</v>
      </c>
      <c r="H1857" s="6">
        <v>63600</v>
      </c>
      <c r="I1857" s="5">
        <f t="shared" si="28"/>
        <v>21200</v>
      </c>
    </row>
    <row r="1858" spans="1:9" x14ac:dyDescent="0.3">
      <c r="A1858" t="s">
        <v>178</v>
      </c>
      <c r="B1858" t="s">
        <v>20</v>
      </c>
      <c r="C1858" t="s">
        <v>17</v>
      </c>
      <c r="D1858" t="s">
        <v>31</v>
      </c>
      <c r="E1858">
        <v>126</v>
      </c>
      <c r="F1858" s="6">
        <v>1000</v>
      </c>
      <c r="G1858" s="6">
        <v>700</v>
      </c>
      <c r="H1858" s="6">
        <v>126000</v>
      </c>
      <c r="I1858" s="5">
        <f t="shared" ref="I1858:I1921" si="29">H1858-(G1858*E1858)</f>
        <v>37800</v>
      </c>
    </row>
    <row r="1859" spans="1:9" x14ac:dyDescent="0.3">
      <c r="A1859" t="s">
        <v>490</v>
      </c>
      <c r="B1859" t="s">
        <v>28</v>
      </c>
      <c r="C1859" t="s">
        <v>26</v>
      </c>
      <c r="D1859" t="s">
        <v>15</v>
      </c>
      <c r="E1859">
        <v>128</v>
      </c>
      <c r="F1859" s="6">
        <v>4000</v>
      </c>
      <c r="G1859" s="6">
        <v>3000</v>
      </c>
      <c r="H1859" s="6">
        <v>512000</v>
      </c>
      <c r="I1859" s="5">
        <f t="shared" si="29"/>
        <v>128000</v>
      </c>
    </row>
    <row r="1860" spans="1:9" x14ac:dyDescent="0.3">
      <c r="A1860" t="s">
        <v>460</v>
      </c>
      <c r="B1860" t="s">
        <v>23</v>
      </c>
      <c r="C1860" t="s">
        <v>17</v>
      </c>
      <c r="D1860" t="s">
        <v>31</v>
      </c>
      <c r="E1860">
        <v>75</v>
      </c>
      <c r="F1860" s="6">
        <v>1000</v>
      </c>
      <c r="G1860" s="6">
        <v>700</v>
      </c>
      <c r="H1860" s="6">
        <v>75000</v>
      </c>
      <c r="I1860" s="5">
        <f t="shared" si="29"/>
        <v>22500</v>
      </c>
    </row>
    <row r="1861" spans="1:9" x14ac:dyDescent="0.3">
      <c r="A1861" t="s">
        <v>207</v>
      </c>
      <c r="B1861" t="s">
        <v>23</v>
      </c>
      <c r="C1861" t="s">
        <v>10</v>
      </c>
      <c r="D1861" t="s">
        <v>18</v>
      </c>
      <c r="E1861">
        <v>71</v>
      </c>
      <c r="F1861" s="6">
        <v>6000</v>
      </c>
      <c r="G1861" s="6">
        <v>4000</v>
      </c>
      <c r="H1861" s="6">
        <v>426000</v>
      </c>
      <c r="I1861" s="5">
        <f t="shared" si="29"/>
        <v>142000</v>
      </c>
    </row>
    <row r="1862" spans="1:9" x14ac:dyDescent="0.3">
      <c r="A1862" t="s">
        <v>569</v>
      </c>
      <c r="B1862" t="s">
        <v>23</v>
      </c>
      <c r="C1862" t="s">
        <v>14</v>
      </c>
      <c r="D1862" t="s">
        <v>11</v>
      </c>
      <c r="E1862">
        <v>127</v>
      </c>
      <c r="F1862" s="6">
        <v>3500</v>
      </c>
      <c r="G1862" s="6">
        <v>2500</v>
      </c>
      <c r="H1862" s="6">
        <v>444500</v>
      </c>
      <c r="I1862" s="5">
        <f t="shared" si="29"/>
        <v>127000</v>
      </c>
    </row>
    <row r="1863" spans="1:9" x14ac:dyDescent="0.3">
      <c r="A1863" t="s">
        <v>46</v>
      </c>
      <c r="B1863" t="s">
        <v>30</v>
      </c>
      <c r="C1863" t="s">
        <v>10</v>
      </c>
      <c r="D1863" t="s">
        <v>34</v>
      </c>
      <c r="E1863">
        <v>98</v>
      </c>
      <c r="F1863" s="6">
        <v>10000</v>
      </c>
      <c r="G1863" s="6">
        <v>7000</v>
      </c>
      <c r="H1863" s="6">
        <v>980000</v>
      </c>
      <c r="I1863" s="5">
        <f t="shared" si="29"/>
        <v>294000</v>
      </c>
    </row>
    <row r="1864" spans="1:9" x14ac:dyDescent="0.3">
      <c r="A1864" t="s">
        <v>229</v>
      </c>
      <c r="B1864" t="s">
        <v>13</v>
      </c>
      <c r="C1864" t="s">
        <v>17</v>
      </c>
      <c r="D1864" t="s">
        <v>24</v>
      </c>
      <c r="E1864">
        <v>144</v>
      </c>
      <c r="F1864" s="6">
        <v>1200</v>
      </c>
      <c r="G1864" s="6">
        <v>800</v>
      </c>
      <c r="H1864" s="6">
        <v>172800</v>
      </c>
      <c r="I1864" s="5">
        <f t="shared" si="29"/>
        <v>57600</v>
      </c>
    </row>
    <row r="1865" spans="1:9" x14ac:dyDescent="0.3">
      <c r="A1865" t="s">
        <v>277</v>
      </c>
      <c r="B1865" t="s">
        <v>9</v>
      </c>
      <c r="C1865" t="s">
        <v>14</v>
      </c>
      <c r="D1865" t="s">
        <v>15</v>
      </c>
      <c r="E1865">
        <v>115</v>
      </c>
      <c r="F1865" s="6">
        <v>4000</v>
      </c>
      <c r="G1865" s="6">
        <v>3000</v>
      </c>
      <c r="H1865" s="6">
        <v>460000</v>
      </c>
      <c r="I1865" s="5">
        <f t="shared" si="29"/>
        <v>115000</v>
      </c>
    </row>
    <row r="1866" spans="1:9" x14ac:dyDescent="0.3">
      <c r="A1866" t="s">
        <v>634</v>
      </c>
      <c r="B1866" t="s">
        <v>9</v>
      </c>
      <c r="C1866" t="s">
        <v>10</v>
      </c>
      <c r="D1866" t="s">
        <v>15</v>
      </c>
      <c r="E1866">
        <v>92</v>
      </c>
      <c r="F1866" s="6">
        <v>4000</v>
      </c>
      <c r="G1866" s="6">
        <v>3000</v>
      </c>
      <c r="H1866" s="6">
        <v>368000</v>
      </c>
      <c r="I1866" s="5">
        <f t="shared" si="29"/>
        <v>92000</v>
      </c>
    </row>
    <row r="1867" spans="1:9" x14ac:dyDescent="0.3">
      <c r="A1867" t="s">
        <v>429</v>
      </c>
      <c r="B1867" t="s">
        <v>9</v>
      </c>
      <c r="C1867" t="s">
        <v>10</v>
      </c>
      <c r="D1867" t="s">
        <v>18</v>
      </c>
      <c r="E1867">
        <v>63</v>
      </c>
      <c r="F1867" s="6">
        <v>6000</v>
      </c>
      <c r="G1867" s="6">
        <v>4000</v>
      </c>
      <c r="H1867" s="6">
        <v>378000</v>
      </c>
      <c r="I1867" s="5">
        <f t="shared" si="29"/>
        <v>126000</v>
      </c>
    </row>
    <row r="1868" spans="1:9" x14ac:dyDescent="0.3">
      <c r="A1868" t="s">
        <v>542</v>
      </c>
      <c r="B1868" t="s">
        <v>58</v>
      </c>
      <c r="C1868" t="s">
        <v>26</v>
      </c>
      <c r="D1868" t="s">
        <v>31</v>
      </c>
      <c r="E1868">
        <v>136</v>
      </c>
      <c r="F1868" s="6">
        <v>1000</v>
      </c>
      <c r="G1868" s="6">
        <v>700</v>
      </c>
      <c r="H1868" s="6">
        <v>136000</v>
      </c>
      <c r="I1868" s="5">
        <f t="shared" si="29"/>
        <v>40800</v>
      </c>
    </row>
    <row r="1869" spans="1:9" x14ac:dyDescent="0.3">
      <c r="A1869" t="s">
        <v>552</v>
      </c>
      <c r="B1869" t="s">
        <v>30</v>
      </c>
      <c r="C1869" t="s">
        <v>17</v>
      </c>
      <c r="D1869" t="s">
        <v>15</v>
      </c>
      <c r="E1869">
        <v>114</v>
      </c>
      <c r="F1869" s="6">
        <v>4000</v>
      </c>
      <c r="G1869" s="6">
        <v>3000</v>
      </c>
      <c r="H1869" s="6">
        <v>456000</v>
      </c>
      <c r="I1869" s="5">
        <f t="shared" si="29"/>
        <v>114000</v>
      </c>
    </row>
    <row r="1870" spans="1:9" x14ac:dyDescent="0.3">
      <c r="A1870" t="s">
        <v>545</v>
      </c>
      <c r="B1870" t="s">
        <v>20</v>
      </c>
      <c r="C1870" t="s">
        <v>26</v>
      </c>
      <c r="D1870" t="s">
        <v>15</v>
      </c>
      <c r="E1870">
        <v>70</v>
      </c>
      <c r="F1870" s="6">
        <v>4000</v>
      </c>
      <c r="G1870" s="6">
        <v>3000</v>
      </c>
      <c r="H1870" s="6">
        <v>280000</v>
      </c>
      <c r="I1870" s="5">
        <f t="shared" si="29"/>
        <v>70000</v>
      </c>
    </row>
    <row r="1871" spans="1:9" x14ac:dyDescent="0.3">
      <c r="A1871" t="s">
        <v>670</v>
      </c>
      <c r="B1871" t="s">
        <v>30</v>
      </c>
      <c r="C1871" t="s">
        <v>17</v>
      </c>
      <c r="D1871" t="s">
        <v>15</v>
      </c>
      <c r="E1871">
        <v>126</v>
      </c>
      <c r="F1871" s="6">
        <v>4000</v>
      </c>
      <c r="G1871" s="6">
        <v>3000</v>
      </c>
      <c r="H1871" s="6">
        <v>504000</v>
      </c>
      <c r="I1871" s="5">
        <f t="shared" si="29"/>
        <v>126000</v>
      </c>
    </row>
    <row r="1872" spans="1:9" x14ac:dyDescent="0.3">
      <c r="A1872" t="s">
        <v>199</v>
      </c>
      <c r="B1872" t="s">
        <v>40</v>
      </c>
      <c r="C1872" t="s">
        <v>26</v>
      </c>
      <c r="D1872" t="s">
        <v>31</v>
      </c>
      <c r="E1872">
        <v>124</v>
      </c>
      <c r="F1872" s="6">
        <v>1000</v>
      </c>
      <c r="G1872" s="6">
        <v>700</v>
      </c>
      <c r="H1872" s="6">
        <v>124000</v>
      </c>
      <c r="I1872" s="5">
        <f t="shared" si="29"/>
        <v>37200</v>
      </c>
    </row>
    <row r="1873" spans="1:9" x14ac:dyDescent="0.3">
      <c r="A1873" t="s">
        <v>475</v>
      </c>
      <c r="B1873" t="s">
        <v>28</v>
      </c>
      <c r="C1873" t="s">
        <v>10</v>
      </c>
      <c r="D1873" t="s">
        <v>24</v>
      </c>
      <c r="E1873">
        <v>144</v>
      </c>
      <c r="F1873" s="6">
        <v>1200</v>
      </c>
      <c r="G1873" s="6">
        <v>800</v>
      </c>
      <c r="H1873" s="6">
        <v>172800</v>
      </c>
      <c r="I1873" s="5">
        <f t="shared" si="29"/>
        <v>57600</v>
      </c>
    </row>
    <row r="1874" spans="1:9" x14ac:dyDescent="0.3">
      <c r="A1874" t="s">
        <v>605</v>
      </c>
      <c r="B1874" t="s">
        <v>9</v>
      </c>
      <c r="C1874" t="s">
        <v>26</v>
      </c>
      <c r="D1874" t="s">
        <v>18</v>
      </c>
      <c r="E1874">
        <v>140</v>
      </c>
      <c r="F1874" s="6">
        <v>6000</v>
      </c>
      <c r="G1874" s="6">
        <v>4000</v>
      </c>
      <c r="H1874" s="6">
        <v>840000</v>
      </c>
      <c r="I1874" s="5">
        <f t="shared" si="29"/>
        <v>280000</v>
      </c>
    </row>
    <row r="1875" spans="1:9" x14ac:dyDescent="0.3">
      <c r="A1875" t="s">
        <v>162</v>
      </c>
      <c r="B1875" t="s">
        <v>40</v>
      </c>
      <c r="C1875" t="s">
        <v>14</v>
      </c>
      <c r="D1875" t="s">
        <v>11</v>
      </c>
      <c r="E1875">
        <v>86</v>
      </c>
      <c r="F1875" s="6">
        <v>3500</v>
      </c>
      <c r="G1875" s="6">
        <v>2500</v>
      </c>
      <c r="H1875" s="6">
        <v>301000</v>
      </c>
      <c r="I1875" s="5">
        <f t="shared" si="29"/>
        <v>86000</v>
      </c>
    </row>
    <row r="1876" spans="1:9" x14ac:dyDescent="0.3">
      <c r="A1876" t="s">
        <v>64</v>
      </c>
      <c r="B1876" t="s">
        <v>43</v>
      </c>
      <c r="C1876" t="s">
        <v>17</v>
      </c>
      <c r="D1876" t="s">
        <v>34</v>
      </c>
      <c r="E1876">
        <v>138</v>
      </c>
      <c r="F1876" s="6">
        <v>10000</v>
      </c>
      <c r="G1876" s="6">
        <v>7000</v>
      </c>
      <c r="H1876" s="6">
        <v>1380000</v>
      </c>
      <c r="I1876" s="5">
        <f t="shared" si="29"/>
        <v>414000</v>
      </c>
    </row>
    <row r="1877" spans="1:9" x14ac:dyDescent="0.3">
      <c r="A1877" t="s">
        <v>476</v>
      </c>
      <c r="B1877" t="s">
        <v>36</v>
      </c>
      <c r="C1877" t="s">
        <v>17</v>
      </c>
      <c r="D1877" t="s">
        <v>15</v>
      </c>
      <c r="E1877">
        <v>62</v>
      </c>
      <c r="F1877" s="6">
        <v>4000</v>
      </c>
      <c r="G1877" s="6">
        <v>3000</v>
      </c>
      <c r="H1877" s="6">
        <v>248000</v>
      </c>
      <c r="I1877" s="5">
        <f t="shared" si="29"/>
        <v>62000</v>
      </c>
    </row>
    <row r="1878" spans="1:9" x14ac:dyDescent="0.3">
      <c r="A1878" t="s">
        <v>626</v>
      </c>
      <c r="B1878" t="s">
        <v>9</v>
      </c>
      <c r="C1878" t="s">
        <v>14</v>
      </c>
      <c r="D1878" t="s">
        <v>18</v>
      </c>
      <c r="E1878">
        <v>113</v>
      </c>
      <c r="F1878" s="6">
        <v>6000</v>
      </c>
      <c r="G1878" s="6">
        <v>4000</v>
      </c>
      <c r="H1878" s="6">
        <v>678000</v>
      </c>
      <c r="I1878" s="5">
        <f t="shared" si="29"/>
        <v>226000</v>
      </c>
    </row>
    <row r="1879" spans="1:9" x14ac:dyDescent="0.3">
      <c r="A1879" t="s">
        <v>56</v>
      </c>
      <c r="B1879" t="s">
        <v>20</v>
      </c>
      <c r="C1879" t="s">
        <v>17</v>
      </c>
      <c r="D1879" t="s">
        <v>18</v>
      </c>
      <c r="E1879">
        <v>96</v>
      </c>
      <c r="F1879" s="6">
        <v>6000</v>
      </c>
      <c r="G1879" s="6">
        <v>4000</v>
      </c>
      <c r="H1879" s="6">
        <v>576000</v>
      </c>
      <c r="I1879" s="5">
        <f t="shared" si="29"/>
        <v>192000</v>
      </c>
    </row>
    <row r="1880" spans="1:9" x14ac:dyDescent="0.3">
      <c r="A1880" t="s">
        <v>301</v>
      </c>
      <c r="B1880" t="s">
        <v>9</v>
      </c>
      <c r="C1880" t="s">
        <v>17</v>
      </c>
      <c r="D1880" t="s">
        <v>15</v>
      </c>
      <c r="E1880">
        <v>72</v>
      </c>
      <c r="F1880" s="6">
        <v>4000</v>
      </c>
      <c r="G1880" s="6">
        <v>3000</v>
      </c>
      <c r="H1880" s="6">
        <v>288000</v>
      </c>
      <c r="I1880" s="5">
        <f t="shared" si="29"/>
        <v>72000</v>
      </c>
    </row>
    <row r="1881" spans="1:9" x14ac:dyDescent="0.3">
      <c r="A1881" t="s">
        <v>315</v>
      </c>
      <c r="B1881" t="s">
        <v>40</v>
      </c>
      <c r="C1881" t="s">
        <v>17</v>
      </c>
      <c r="D1881" t="s">
        <v>34</v>
      </c>
      <c r="E1881">
        <v>148</v>
      </c>
      <c r="F1881" s="6">
        <v>10000</v>
      </c>
      <c r="G1881" s="6">
        <v>7000</v>
      </c>
      <c r="H1881" s="6">
        <v>1480000</v>
      </c>
      <c r="I1881" s="5">
        <f t="shared" si="29"/>
        <v>444000</v>
      </c>
    </row>
    <row r="1882" spans="1:9" x14ac:dyDescent="0.3">
      <c r="A1882" t="s">
        <v>97</v>
      </c>
      <c r="B1882" t="s">
        <v>58</v>
      </c>
      <c r="C1882" t="s">
        <v>10</v>
      </c>
      <c r="D1882" t="s">
        <v>24</v>
      </c>
      <c r="E1882">
        <v>99</v>
      </c>
      <c r="F1882" s="6">
        <v>1200</v>
      </c>
      <c r="G1882" s="6">
        <v>800</v>
      </c>
      <c r="H1882" s="6">
        <v>118800</v>
      </c>
      <c r="I1882" s="5">
        <f t="shared" si="29"/>
        <v>39600</v>
      </c>
    </row>
    <row r="1883" spans="1:9" x14ac:dyDescent="0.3">
      <c r="A1883" t="s">
        <v>196</v>
      </c>
      <c r="B1883" t="s">
        <v>43</v>
      </c>
      <c r="C1883" t="s">
        <v>26</v>
      </c>
      <c r="D1883" t="s">
        <v>18</v>
      </c>
      <c r="E1883">
        <v>79</v>
      </c>
      <c r="F1883" s="6">
        <v>6000</v>
      </c>
      <c r="G1883" s="6">
        <v>4000</v>
      </c>
      <c r="H1883" s="6">
        <v>474000</v>
      </c>
      <c r="I1883" s="5">
        <f t="shared" si="29"/>
        <v>158000</v>
      </c>
    </row>
    <row r="1884" spans="1:9" x14ac:dyDescent="0.3">
      <c r="A1884" t="s">
        <v>459</v>
      </c>
      <c r="B1884" t="s">
        <v>40</v>
      </c>
      <c r="C1884" t="s">
        <v>17</v>
      </c>
      <c r="D1884" t="s">
        <v>15</v>
      </c>
      <c r="E1884">
        <v>59</v>
      </c>
      <c r="F1884" s="6">
        <v>4000</v>
      </c>
      <c r="G1884" s="6">
        <v>3000</v>
      </c>
      <c r="H1884" s="6">
        <v>236000</v>
      </c>
      <c r="I1884" s="5">
        <f t="shared" si="29"/>
        <v>59000</v>
      </c>
    </row>
    <row r="1885" spans="1:9" x14ac:dyDescent="0.3">
      <c r="A1885" t="s">
        <v>126</v>
      </c>
      <c r="B1885" t="s">
        <v>43</v>
      </c>
      <c r="C1885" t="s">
        <v>14</v>
      </c>
      <c r="D1885" t="s">
        <v>34</v>
      </c>
      <c r="E1885">
        <v>86</v>
      </c>
      <c r="F1885" s="6">
        <v>10000</v>
      </c>
      <c r="G1885" s="6">
        <v>7000</v>
      </c>
      <c r="H1885" s="6">
        <v>860000</v>
      </c>
      <c r="I1885" s="5">
        <f t="shared" si="29"/>
        <v>258000</v>
      </c>
    </row>
    <row r="1886" spans="1:9" x14ac:dyDescent="0.3">
      <c r="A1886" t="s">
        <v>424</v>
      </c>
      <c r="B1886" t="s">
        <v>23</v>
      </c>
      <c r="C1886" t="s">
        <v>17</v>
      </c>
      <c r="D1886" t="s">
        <v>18</v>
      </c>
      <c r="E1886">
        <v>80</v>
      </c>
      <c r="F1886" s="6">
        <v>6000</v>
      </c>
      <c r="G1886" s="6">
        <v>4000</v>
      </c>
      <c r="H1886" s="6">
        <v>480000</v>
      </c>
      <c r="I1886" s="5">
        <f t="shared" si="29"/>
        <v>160000</v>
      </c>
    </row>
    <row r="1887" spans="1:9" x14ac:dyDescent="0.3">
      <c r="A1887" t="s">
        <v>630</v>
      </c>
      <c r="B1887" t="s">
        <v>58</v>
      </c>
      <c r="C1887" t="s">
        <v>17</v>
      </c>
      <c r="D1887" t="s">
        <v>24</v>
      </c>
      <c r="E1887">
        <v>142</v>
      </c>
      <c r="F1887" s="6">
        <v>1200</v>
      </c>
      <c r="G1887" s="6">
        <v>800</v>
      </c>
      <c r="H1887" s="6">
        <v>170400</v>
      </c>
      <c r="I1887" s="5">
        <f t="shared" si="29"/>
        <v>56800</v>
      </c>
    </row>
    <row r="1888" spans="1:9" x14ac:dyDescent="0.3">
      <c r="A1888" t="s">
        <v>587</v>
      </c>
      <c r="B1888" t="s">
        <v>28</v>
      </c>
      <c r="C1888" t="s">
        <v>10</v>
      </c>
      <c r="D1888" t="s">
        <v>34</v>
      </c>
      <c r="E1888">
        <v>87</v>
      </c>
      <c r="F1888" s="6">
        <v>10000</v>
      </c>
      <c r="G1888" s="6">
        <v>7000</v>
      </c>
      <c r="H1888" s="6">
        <v>870000</v>
      </c>
      <c r="I1888" s="5">
        <f t="shared" si="29"/>
        <v>261000</v>
      </c>
    </row>
    <row r="1889" spans="1:9" x14ac:dyDescent="0.3">
      <c r="A1889" t="s">
        <v>595</v>
      </c>
      <c r="B1889" t="s">
        <v>13</v>
      </c>
      <c r="C1889" t="s">
        <v>14</v>
      </c>
      <c r="D1889" t="s">
        <v>11</v>
      </c>
      <c r="E1889">
        <v>125</v>
      </c>
      <c r="F1889" s="6">
        <v>3500</v>
      </c>
      <c r="G1889" s="6">
        <v>2500</v>
      </c>
      <c r="H1889" s="6">
        <v>437500</v>
      </c>
      <c r="I1889" s="5">
        <f t="shared" si="29"/>
        <v>125000</v>
      </c>
    </row>
    <row r="1890" spans="1:9" x14ac:dyDescent="0.3">
      <c r="A1890" t="s">
        <v>278</v>
      </c>
      <c r="B1890" t="s">
        <v>13</v>
      </c>
      <c r="C1890" t="s">
        <v>26</v>
      </c>
      <c r="D1890" t="s">
        <v>31</v>
      </c>
      <c r="E1890">
        <v>85</v>
      </c>
      <c r="F1890" s="6">
        <v>1000</v>
      </c>
      <c r="G1890" s="6">
        <v>700</v>
      </c>
      <c r="H1890" s="6">
        <v>85000</v>
      </c>
      <c r="I1890" s="5">
        <f t="shared" si="29"/>
        <v>25500</v>
      </c>
    </row>
    <row r="1891" spans="1:9" x14ac:dyDescent="0.3">
      <c r="A1891" t="s">
        <v>105</v>
      </c>
      <c r="B1891" t="s">
        <v>36</v>
      </c>
      <c r="C1891" t="s">
        <v>10</v>
      </c>
      <c r="D1891" t="s">
        <v>24</v>
      </c>
      <c r="E1891">
        <v>55</v>
      </c>
      <c r="F1891" s="6">
        <v>1200</v>
      </c>
      <c r="G1891" s="6">
        <v>800</v>
      </c>
      <c r="H1891" s="6">
        <v>66000</v>
      </c>
      <c r="I1891" s="5">
        <f t="shared" si="29"/>
        <v>22000</v>
      </c>
    </row>
    <row r="1892" spans="1:9" x14ac:dyDescent="0.3">
      <c r="A1892" t="s">
        <v>308</v>
      </c>
      <c r="B1892" t="s">
        <v>43</v>
      </c>
      <c r="C1892" t="s">
        <v>10</v>
      </c>
      <c r="D1892" t="s">
        <v>34</v>
      </c>
      <c r="E1892">
        <v>132</v>
      </c>
      <c r="F1892" s="6">
        <v>10000</v>
      </c>
      <c r="G1892" s="6">
        <v>7000</v>
      </c>
      <c r="H1892" s="6">
        <v>1320000</v>
      </c>
      <c r="I1892" s="5">
        <f t="shared" si="29"/>
        <v>396000</v>
      </c>
    </row>
    <row r="1893" spans="1:9" x14ac:dyDescent="0.3">
      <c r="A1893" t="s">
        <v>342</v>
      </c>
      <c r="B1893" t="s">
        <v>36</v>
      </c>
      <c r="C1893" t="s">
        <v>10</v>
      </c>
      <c r="D1893" t="s">
        <v>24</v>
      </c>
      <c r="E1893">
        <v>106</v>
      </c>
      <c r="F1893" s="6">
        <v>1200</v>
      </c>
      <c r="G1893" s="6">
        <v>800</v>
      </c>
      <c r="H1893" s="6">
        <v>127200</v>
      </c>
      <c r="I1893" s="5">
        <f t="shared" si="29"/>
        <v>42400</v>
      </c>
    </row>
    <row r="1894" spans="1:9" x14ac:dyDescent="0.3">
      <c r="A1894" t="s">
        <v>202</v>
      </c>
      <c r="B1894" t="s">
        <v>30</v>
      </c>
      <c r="C1894" t="s">
        <v>17</v>
      </c>
      <c r="D1894" t="s">
        <v>31</v>
      </c>
      <c r="E1894">
        <v>106</v>
      </c>
      <c r="F1894" s="6">
        <v>1000</v>
      </c>
      <c r="G1894" s="6">
        <v>700</v>
      </c>
      <c r="H1894" s="6">
        <v>106000</v>
      </c>
      <c r="I1894" s="5">
        <f t="shared" si="29"/>
        <v>31800</v>
      </c>
    </row>
    <row r="1895" spans="1:9" x14ac:dyDescent="0.3">
      <c r="A1895" t="s">
        <v>412</v>
      </c>
      <c r="B1895" t="s">
        <v>28</v>
      </c>
      <c r="C1895" t="s">
        <v>10</v>
      </c>
      <c r="D1895" t="s">
        <v>31</v>
      </c>
      <c r="E1895">
        <v>96</v>
      </c>
      <c r="F1895" s="6">
        <v>1000</v>
      </c>
      <c r="G1895" s="6">
        <v>700</v>
      </c>
      <c r="H1895" s="6">
        <v>96000</v>
      </c>
      <c r="I1895" s="5">
        <f t="shared" si="29"/>
        <v>28800</v>
      </c>
    </row>
    <row r="1896" spans="1:9" x14ac:dyDescent="0.3">
      <c r="A1896" t="s">
        <v>404</v>
      </c>
      <c r="B1896" t="s">
        <v>58</v>
      </c>
      <c r="C1896" t="s">
        <v>14</v>
      </c>
      <c r="D1896" t="s">
        <v>31</v>
      </c>
      <c r="E1896">
        <v>142</v>
      </c>
      <c r="F1896" s="6">
        <v>1000</v>
      </c>
      <c r="G1896" s="6">
        <v>700</v>
      </c>
      <c r="H1896" s="6">
        <v>142000</v>
      </c>
      <c r="I1896" s="5">
        <f t="shared" si="29"/>
        <v>42600</v>
      </c>
    </row>
    <row r="1897" spans="1:9" x14ac:dyDescent="0.3">
      <c r="A1897" t="s">
        <v>323</v>
      </c>
      <c r="B1897" t="s">
        <v>13</v>
      </c>
      <c r="C1897" t="s">
        <v>14</v>
      </c>
      <c r="D1897" t="s">
        <v>24</v>
      </c>
      <c r="E1897">
        <v>67</v>
      </c>
      <c r="F1897" s="6">
        <v>1200</v>
      </c>
      <c r="G1897" s="6">
        <v>800</v>
      </c>
      <c r="H1897" s="6">
        <v>80400</v>
      </c>
      <c r="I1897" s="5">
        <f t="shared" si="29"/>
        <v>26800</v>
      </c>
    </row>
    <row r="1898" spans="1:9" x14ac:dyDescent="0.3">
      <c r="A1898" t="s">
        <v>690</v>
      </c>
      <c r="B1898" t="s">
        <v>9</v>
      </c>
      <c r="C1898" t="s">
        <v>10</v>
      </c>
      <c r="D1898" t="s">
        <v>34</v>
      </c>
      <c r="E1898">
        <v>132</v>
      </c>
      <c r="F1898" s="6">
        <v>10000</v>
      </c>
      <c r="G1898" s="6">
        <v>7000</v>
      </c>
      <c r="H1898" s="6">
        <v>1320000</v>
      </c>
      <c r="I1898" s="5">
        <f t="shared" si="29"/>
        <v>396000</v>
      </c>
    </row>
    <row r="1899" spans="1:9" x14ac:dyDescent="0.3">
      <c r="A1899" t="s">
        <v>209</v>
      </c>
      <c r="B1899" t="s">
        <v>43</v>
      </c>
      <c r="C1899" t="s">
        <v>10</v>
      </c>
      <c r="D1899" t="s">
        <v>34</v>
      </c>
      <c r="E1899">
        <v>122</v>
      </c>
      <c r="F1899" s="6">
        <v>10000</v>
      </c>
      <c r="G1899" s="6">
        <v>7000</v>
      </c>
      <c r="H1899" s="6">
        <v>1220000</v>
      </c>
      <c r="I1899" s="5">
        <f t="shared" si="29"/>
        <v>366000</v>
      </c>
    </row>
    <row r="1900" spans="1:9" x14ac:dyDescent="0.3">
      <c r="A1900" t="s">
        <v>339</v>
      </c>
      <c r="B1900" t="s">
        <v>28</v>
      </c>
      <c r="C1900" t="s">
        <v>17</v>
      </c>
      <c r="D1900" t="s">
        <v>24</v>
      </c>
      <c r="E1900">
        <v>123</v>
      </c>
      <c r="F1900" s="6">
        <v>1200</v>
      </c>
      <c r="G1900" s="6">
        <v>800</v>
      </c>
      <c r="H1900" s="6">
        <v>147600</v>
      </c>
      <c r="I1900" s="5">
        <f t="shared" si="29"/>
        <v>49200</v>
      </c>
    </row>
    <row r="1901" spans="1:9" x14ac:dyDescent="0.3">
      <c r="A1901" t="s">
        <v>509</v>
      </c>
      <c r="B1901" t="s">
        <v>23</v>
      </c>
      <c r="C1901" t="s">
        <v>10</v>
      </c>
      <c r="D1901" t="s">
        <v>11</v>
      </c>
      <c r="E1901">
        <v>63</v>
      </c>
      <c r="F1901" s="6">
        <v>3500</v>
      </c>
      <c r="G1901" s="6">
        <v>2500</v>
      </c>
      <c r="H1901" s="6">
        <v>220500</v>
      </c>
      <c r="I1901" s="5">
        <f t="shared" si="29"/>
        <v>63000</v>
      </c>
    </row>
    <row r="1902" spans="1:9" x14ac:dyDescent="0.3">
      <c r="A1902" t="s">
        <v>258</v>
      </c>
      <c r="B1902" t="s">
        <v>23</v>
      </c>
      <c r="C1902" t="s">
        <v>26</v>
      </c>
      <c r="D1902" t="s">
        <v>11</v>
      </c>
      <c r="E1902">
        <v>85</v>
      </c>
      <c r="F1902" s="6">
        <v>3500</v>
      </c>
      <c r="G1902" s="6">
        <v>2500</v>
      </c>
      <c r="H1902" s="6">
        <v>297500</v>
      </c>
      <c r="I1902" s="5">
        <f t="shared" si="29"/>
        <v>85000</v>
      </c>
    </row>
    <row r="1903" spans="1:9" x14ac:dyDescent="0.3">
      <c r="A1903" t="s">
        <v>192</v>
      </c>
      <c r="B1903" t="s">
        <v>43</v>
      </c>
      <c r="C1903" t="s">
        <v>26</v>
      </c>
      <c r="D1903" t="s">
        <v>15</v>
      </c>
      <c r="E1903">
        <v>123</v>
      </c>
      <c r="F1903" s="6">
        <v>4000</v>
      </c>
      <c r="G1903" s="6">
        <v>3000</v>
      </c>
      <c r="H1903" s="6">
        <v>492000</v>
      </c>
      <c r="I1903" s="5">
        <f t="shared" si="29"/>
        <v>123000</v>
      </c>
    </row>
    <row r="1904" spans="1:9" x14ac:dyDescent="0.3">
      <c r="A1904" t="s">
        <v>38</v>
      </c>
      <c r="B1904" t="s">
        <v>13</v>
      </c>
      <c r="C1904" t="s">
        <v>10</v>
      </c>
      <c r="D1904" t="s">
        <v>21</v>
      </c>
      <c r="E1904">
        <v>75</v>
      </c>
      <c r="F1904" s="6">
        <v>600</v>
      </c>
      <c r="G1904" s="6">
        <v>400</v>
      </c>
      <c r="H1904" s="6">
        <v>45000</v>
      </c>
      <c r="I1904" s="5">
        <f t="shared" si="29"/>
        <v>15000</v>
      </c>
    </row>
    <row r="1905" spans="1:9" x14ac:dyDescent="0.3">
      <c r="A1905" t="s">
        <v>542</v>
      </c>
      <c r="B1905" t="s">
        <v>28</v>
      </c>
      <c r="C1905" t="s">
        <v>26</v>
      </c>
      <c r="D1905" t="s">
        <v>31</v>
      </c>
      <c r="E1905">
        <v>126</v>
      </c>
      <c r="F1905" s="6">
        <v>1000</v>
      </c>
      <c r="G1905" s="6">
        <v>700</v>
      </c>
      <c r="H1905" s="6">
        <v>126000</v>
      </c>
      <c r="I1905" s="5">
        <f t="shared" si="29"/>
        <v>37800</v>
      </c>
    </row>
    <row r="1906" spans="1:9" x14ac:dyDescent="0.3">
      <c r="A1906" t="s">
        <v>64</v>
      </c>
      <c r="B1906" t="s">
        <v>23</v>
      </c>
      <c r="C1906" t="s">
        <v>10</v>
      </c>
      <c r="D1906" t="s">
        <v>24</v>
      </c>
      <c r="E1906">
        <v>88</v>
      </c>
      <c r="F1906" s="6">
        <v>1200</v>
      </c>
      <c r="G1906" s="6">
        <v>800</v>
      </c>
      <c r="H1906" s="6">
        <v>105600</v>
      </c>
      <c r="I1906" s="5">
        <f t="shared" si="29"/>
        <v>35200</v>
      </c>
    </row>
    <row r="1907" spans="1:9" x14ac:dyDescent="0.3">
      <c r="A1907" t="s">
        <v>261</v>
      </c>
      <c r="B1907" t="s">
        <v>36</v>
      </c>
      <c r="C1907" t="s">
        <v>14</v>
      </c>
      <c r="D1907" t="s">
        <v>11</v>
      </c>
      <c r="E1907">
        <v>59</v>
      </c>
      <c r="F1907" s="6">
        <v>3500</v>
      </c>
      <c r="G1907" s="6">
        <v>2500</v>
      </c>
      <c r="H1907" s="6">
        <v>206500</v>
      </c>
      <c r="I1907" s="5">
        <f t="shared" si="29"/>
        <v>59000</v>
      </c>
    </row>
    <row r="1908" spans="1:9" x14ac:dyDescent="0.3">
      <c r="A1908" t="s">
        <v>295</v>
      </c>
      <c r="B1908" t="s">
        <v>28</v>
      </c>
      <c r="C1908" t="s">
        <v>10</v>
      </c>
      <c r="D1908" t="s">
        <v>11</v>
      </c>
      <c r="E1908">
        <v>55</v>
      </c>
      <c r="F1908" s="6">
        <v>3500</v>
      </c>
      <c r="G1908" s="6">
        <v>2500</v>
      </c>
      <c r="H1908" s="6">
        <v>192500</v>
      </c>
      <c r="I1908" s="5">
        <f t="shared" si="29"/>
        <v>55000</v>
      </c>
    </row>
    <row r="1909" spans="1:9" x14ac:dyDescent="0.3">
      <c r="A1909" t="s">
        <v>676</v>
      </c>
      <c r="B1909" t="s">
        <v>36</v>
      </c>
      <c r="C1909" t="s">
        <v>10</v>
      </c>
      <c r="D1909" t="s">
        <v>15</v>
      </c>
      <c r="E1909">
        <v>51</v>
      </c>
      <c r="F1909" s="6">
        <v>4000</v>
      </c>
      <c r="G1909" s="6">
        <v>3000</v>
      </c>
      <c r="H1909" s="6">
        <v>204000</v>
      </c>
      <c r="I1909" s="5">
        <f t="shared" si="29"/>
        <v>51000</v>
      </c>
    </row>
    <row r="1910" spans="1:9" x14ac:dyDescent="0.3">
      <c r="A1910" t="s">
        <v>695</v>
      </c>
      <c r="B1910" t="s">
        <v>30</v>
      </c>
      <c r="C1910" t="s">
        <v>10</v>
      </c>
      <c r="D1910" t="s">
        <v>31</v>
      </c>
      <c r="E1910">
        <v>127</v>
      </c>
      <c r="F1910" s="6">
        <v>1000</v>
      </c>
      <c r="G1910" s="6">
        <v>700</v>
      </c>
      <c r="H1910" s="6">
        <v>127000</v>
      </c>
      <c r="I1910" s="5">
        <f t="shared" si="29"/>
        <v>38100</v>
      </c>
    </row>
    <row r="1911" spans="1:9" x14ac:dyDescent="0.3">
      <c r="A1911" t="s">
        <v>248</v>
      </c>
      <c r="B1911" t="s">
        <v>28</v>
      </c>
      <c r="C1911" t="s">
        <v>17</v>
      </c>
      <c r="D1911" t="s">
        <v>18</v>
      </c>
      <c r="E1911">
        <v>128</v>
      </c>
      <c r="F1911" s="6">
        <v>6000</v>
      </c>
      <c r="G1911" s="6">
        <v>4000</v>
      </c>
      <c r="H1911" s="6">
        <v>768000</v>
      </c>
      <c r="I1911" s="5">
        <f t="shared" si="29"/>
        <v>256000</v>
      </c>
    </row>
    <row r="1912" spans="1:9" x14ac:dyDescent="0.3">
      <c r="A1912" t="s">
        <v>696</v>
      </c>
      <c r="B1912" t="s">
        <v>28</v>
      </c>
      <c r="C1912" t="s">
        <v>17</v>
      </c>
      <c r="D1912" t="s">
        <v>11</v>
      </c>
      <c r="E1912">
        <v>60</v>
      </c>
      <c r="F1912" s="6">
        <v>3500</v>
      </c>
      <c r="G1912" s="6">
        <v>2500</v>
      </c>
      <c r="H1912" s="6">
        <v>210000</v>
      </c>
      <c r="I1912" s="5">
        <f t="shared" si="29"/>
        <v>60000</v>
      </c>
    </row>
    <row r="1913" spans="1:9" x14ac:dyDescent="0.3">
      <c r="A1913" t="s">
        <v>587</v>
      </c>
      <c r="B1913" t="s">
        <v>28</v>
      </c>
      <c r="C1913" t="s">
        <v>17</v>
      </c>
      <c r="D1913" t="s">
        <v>21</v>
      </c>
      <c r="E1913">
        <v>135</v>
      </c>
      <c r="F1913" s="6">
        <v>600</v>
      </c>
      <c r="G1913" s="6">
        <v>400</v>
      </c>
      <c r="H1913" s="6">
        <v>81000</v>
      </c>
      <c r="I1913" s="5">
        <f t="shared" si="29"/>
        <v>27000</v>
      </c>
    </row>
    <row r="1914" spans="1:9" x14ac:dyDescent="0.3">
      <c r="A1914" t="s">
        <v>155</v>
      </c>
      <c r="B1914" t="s">
        <v>43</v>
      </c>
      <c r="C1914" t="s">
        <v>26</v>
      </c>
      <c r="D1914" t="s">
        <v>31</v>
      </c>
      <c r="E1914">
        <v>110</v>
      </c>
      <c r="F1914" s="6">
        <v>1000</v>
      </c>
      <c r="G1914" s="6">
        <v>700</v>
      </c>
      <c r="H1914" s="6">
        <v>110000</v>
      </c>
      <c r="I1914" s="5">
        <f t="shared" si="29"/>
        <v>33000</v>
      </c>
    </row>
    <row r="1915" spans="1:9" x14ac:dyDescent="0.3">
      <c r="A1915" t="s">
        <v>160</v>
      </c>
      <c r="B1915" t="s">
        <v>30</v>
      </c>
      <c r="C1915" t="s">
        <v>26</v>
      </c>
      <c r="D1915" t="s">
        <v>31</v>
      </c>
      <c r="E1915">
        <v>111</v>
      </c>
      <c r="F1915" s="6">
        <v>1000</v>
      </c>
      <c r="G1915" s="6">
        <v>700</v>
      </c>
      <c r="H1915" s="6">
        <v>111000</v>
      </c>
      <c r="I1915" s="5">
        <f t="shared" si="29"/>
        <v>33300</v>
      </c>
    </row>
    <row r="1916" spans="1:9" x14ac:dyDescent="0.3">
      <c r="A1916" t="s">
        <v>401</v>
      </c>
      <c r="B1916" t="s">
        <v>13</v>
      </c>
      <c r="C1916" t="s">
        <v>10</v>
      </c>
      <c r="D1916" t="s">
        <v>31</v>
      </c>
      <c r="E1916">
        <v>135</v>
      </c>
      <c r="F1916" s="6">
        <v>1000</v>
      </c>
      <c r="G1916" s="6">
        <v>700</v>
      </c>
      <c r="H1916" s="6">
        <v>135000</v>
      </c>
      <c r="I1916" s="5">
        <f t="shared" si="29"/>
        <v>40500</v>
      </c>
    </row>
    <row r="1917" spans="1:9" x14ac:dyDescent="0.3">
      <c r="A1917" t="s">
        <v>122</v>
      </c>
      <c r="B1917" t="s">
        <v>40</v>
      </c>
      <c r="C1917" t="s">
        <v>10</v>
      </c>
      <c r="D1917" t="s">
        <v>24</v>
      </c>
      <c r="E1917">
        <v>76</v>
      </c>
      <c r="F1917" s="6">
        <v>1200</v>
      </c>
      <c r="G1917" s="6">
        <v>800</v>
      </c>
      <c r="H1917" s="6">
        <v>91200</v>
      </c>
      <c r="I1917" s="5">
        <f t="shared" si="29"/>
        <v>30400</v>
      </c>
    </row>
    <row r="1918" spans="1:9" x14ac:dyDescent="0.3">
      <c r="A1918" t="s">
        <v>611</v>
      </c>
      <c r="B1918" t="s">
        <v>13</v>
      </c>
      <c r="C1918" t="s">
        <v>14</v>
      </c>
      <c r="D1918" t="s">
        <v>31</v>
      </c>
      <c r="E1918">
        <v>83</v>
      </c>
      <c r="F1918" s="6">
        <v>1000</v>
      </c>
      <c r="G1918" s="6">
        <v>700</v>
      </c>
      <c r="H1918" s="6">
        <v>83000</v>
      </c>
      <c r="I1918" s="5">
        <f t="shared" si="29"/>
        <v>24900</v>
      </c>
    </row>
    <row r="1919" spans="1:9" x14ac:dyDescent="0.3">
      <c r="A1919" t="s">
        <v>412</v>
      </c>
      <c r="B1919" t="s">
        <v>9</v>
      </c>
      <c r="C1919" t="s">
        <v>14</v>
      </c>
      <c r="D1919" t="s">
        <v>15</v>
      </c>
      <c r="E1919">
        <v>134</v>
      </c>
      <c r="F1919" s="6">
        <v>4000</v>
      </c>
      <c r="G1919" s="6">
        <v>3000</v>
      </c>
      <c r="H1919" s="6">
        <v>536000</v>
      </c>
      <c r="I1919" s="5">
        <f t="shared" si="29"/>
        <v>134000</v>
      </c>
    </row>
    <row r="1920" spans="1:9" x14ac:dyDescent="0.3">
      <c r="A1920" t="s">
        <v>697</v>
      </c>
      <c r="B1920" t="s">
        <v>43</v>
      </c>
      <c r="C1920" t="s">
        <v>17</v>
      </c>
      <c r="D1920" t="s">
        <v>21</v>
      </c>
      <c r="E1920">
        <v>112</v>
      </c>
      <c r="F1920" s="6">
        <v>600</v>
      </c>
      <c r="G1920" s="6">
        <v>400</v>
      </c>
      <c r="H1920" s="6">
        <v>67200</v>
      </c>
      <c r="I1920" s="5">
        <f t="shared" si="29"/>
        <v>22400</v>
      </c>
    </row>
    <row r="1921" spans="1:9" x14ac:dyDescent="0.3">
      <c r="A1921" t="s">
        <v>42</v>
      </c>
      <c r="B1921" t="s">
        <v>40</v>
      </c>
      <c r="C1921" t="s">
        <v>26</v>
      </c>
      <c r="D1921" t="s">
        <v>15</v>
      </c>
      <c r="E1921">
        <v>90</v>
      </c>
      <c r="F1921" s="6">
        <v>4000</v>
      </c>
      <c r="G1921" s="6">
        <v>3000</v>
      </c>
      <c r="H1921" s="6">
        <v>360000</v>
      </c>
      <c r="I1921" s="5">
        <f t="shared" si="29"/>
        <v>90000</v>
      </c>
    </row>
    <row r="1922" spans="1:9" x14ac:dyDescent="0.3">
      <c r="A1922" t="s">
        <v>593</v>
      </c>
      <c r="B1922" t="s">
        <v>30</v>
      </c>
      <c r="C1922" t="s">
        <v>14</v>
      </c>
      <c r="D1922" t="s">
        <v>21</v>
      </c>
      <c r="E1922">
        <v>93</v>
      </c>
      <c r="F1922" s="6">
        <v>600</v>
      </c>
      <c r="G1922" s="6">
        <v>400</v>
      </c>
      <c r="H1922" s="6">
        <v>55800</v>
      </c>
      <c r="I1922" s="5">
        <f t="shared" ref="I1922:I1985" si="30">H1922-(G1922*E1922)</f>
        <v>18600</v>
      </c>
    </row>
    <row r="1923" spans="1:9" x14ac:dyDescent="0.3">
      <c r="A1923" t="s">
        <v>229</v>
      </c>
      <c r="B1923" t="s">
        <v>28</v>
      </c>
      <c r="C1923" t="s">
        <v>10</v>
      </c>
      <c r="D1923" t="s">
        <v>31</v>
      </c>
      <c r="E1923">
        <v>93</v>
      </c>
      <c r="F1923" s="6">
        <v>1000</v>
      </c>
      <c r="G1923" s="6">
        <v>700</v>
      </c>
      <c r="H1923" s="6">
        <v>93000</v>
      </c>
      <c r="I1923" s="5">
        <f t="shared" si="30"/>
        <v>27900</v>
      </c>
    </row>
    <row r="1924" spans="1:9" x14ac:dyDescent="0.3">
      <c r="A1924" t="s">
        <v>111</v>
      </c>
      <c r="B1924" t="s">
        <v>58</v>
      </c>
      <c r="C1924" t="s">
        <v>10</v>
      </c>
      <c r="D1924" t="s">
        <v>24</v>
      </c>
      <c r="E1924">
        <v>124</v>
      </c>
      <c r="F1924" s="6">
        <v>1200</v>
      </c>
      <c r="G1924" s="6">
        <v>800</v>
      </c>
      <c r="H1924" s="6">
        <v>148800</v>
      </c>
      <c r="I1924" s="5">
        <f t="shared" si="30"/>
        <v>49600</v>
      </c>
    </row>
    <row r="1925" spans="1:9" x14ac:dyDescent="0.3">
      <c r="A1925" t="s">
        <v>698</v>
      </c>
      <c r="B1925" t="s">
        <v>43</v>
      </c>
      <c r="C1925" t="s">
        <v>10</v>
      </c>
      <c r="D1925" t="s">
        <v>31</v>
      </c>
      <c r="E1925">
        <v>78</v>
      </c>
      <c r="F1925" s="6">
        <v>1000</v>
      </c>
      <c r="G1925" s="6">
        <v>700</v>
      </c>
      <c r="H1925" s="6">
        <v>78000</v>
      </c>
      <c r="I1925" s="5">
        <f t="shared" si="30"/>
        <v>23400</v>
      </c>
    </row>
    <row r="1926" spans="1:9" x14ac:dyDescent="0.3">
      <c r="A1926" t="s">
        <v>612</v>
      </c>
      <c r="B1926" t="s">
        <v>40</v>
      </c>
      <c r="C1926" t="s">
        <v>17</v>
      </c>
      <c r="D1926" t="s">
        <v>11</v>
      </c>
      <c r="E1926">
        <v>64</v>
      </c>
      <c r="F1926" s="6">
        <v>3500</v>
      </c>
      <c r="G1926" s="6">
        <v>2500</v>
      </c>
      <c r="H1926" s="6">
        <v>224000</v>
      </c>
      <c r="I1926" s="5">
        <f t="shared" si="30"/>
        <v>64000</v>
      </c>
    </row>
    <row r="1927" spans="1:9" x14ac:dyDescent="0.3">
      <c r="A1927" t="s">
        <v>650</v>
      </c>
      <c r="B1927" t="s">
        <v>28</v>
      </c>
      <c r="C1927" t="s">
        <v>10</v>
      </c>
      <c r="D1927" t="s">
        <v>34</v>
      </c>
      <c r="E1927">
        <v>86</v>
      </c>
      <c r="F1927" s="6">
        <v>10000</v>
      </c>
      <c r="G1927" s="6">
        <v>7000</v>
      </c>
      <c r="H1927" s="6">
        <v>860000</v>
      </c>
      <c r="I1927" s="5">
        <f t="shared" si="30"/>
        <v>258000</v>
      </c>
    </row>
    <row r="1928" spans="1:9" x14ac:dyDescent="0.3">
      <c r="A1928" t="s">
        <v>56</v>
      </c>
      <c r="B1928" t="s">
        <v>40</v>
      </c>
      <c r="C1928" t="s">
        <v>10</v>
      </c>
      <c r="D1928" t="s">
        <v>15</v>
      </c>
      <c r="E1928">
        <v>95</v>
      </c>
      <c r="F1928" s="6">
        <v>4000</v>
      </c>
      <c r="G1928" s="6">
        <v>3000</v>
      </c>
      <c r="H1928" s="6">
        <v>380000</v>
      </c>
      <c r="I1928" s="5">
        <f t="shared" si="30"/>
        <v>95000</v>
      </c>
    </row>
    <row r="1929" spans="1:9" x14ac:dyDescent="0.3">
      <c r="A1929" t="s">
        <v>282</v>
      </c>
      <c r="B1929" t="s">
        <v>30</v>
      </c>
      <c r="C1929" t="s">
        <v>10</v>
      </c>
      <c r="D1929" t="s">
        <v>24</v>
      </c>
      <c r="E1929">
        <v>135</v>
      </c>
      <c r="F1929" s="6">
        <v>1200</v>
      </c>
      <c r="G1929" s="6">
        <v>800</v>
      </c>
      <c r="H1929" s="6">
        <v>162000</v>
      </c>
      <c r="I1929" s="5">
        <f t="shared" si="30"/>
        <v>54000</v>
      </c>
    </row>
    <row r="1930" spans="1:9" x14ac:dyDescent="0.3">
      <c r="A1930" t="s">
        <v>266</v>
      </c>
      <c r="B1930" t="s">
        <v>43</v>
      </c>
      <c r="C1930" t="s">
        <v>17</v>
      </c>
      <c r="D1930" t="s">
        <v>31</v>
      </c>
      <c r="E1930">
        <v>95</v>
      </c>
      <c r="F1930" s="6">
        <v>1000</v>
      </c>
      <c r="G1930" s="6">
        <v>700</v>
      </c>
      <c r="H1930" s="6">
        <v>95000</v>
      </c>
      <c r="I1930" s="5">
        <f t="shared" si="30"/>
        <v>28500</v>
      </c>
    </row>
    <row r="1931" spans="1:9" x14ac:dyDescent="0.3">
      <c r="A1931" t="s">
        <v>414</v>
      </c>
      <c r="B1931" t="s">
        <v>28</v>
      </c>
      <c r="C1931" t="s">
        <v>17</v>
      </c>
      <c r="D1931" t="s">
        <v>11</v>
      </c>
      <c r="E1931">
        <v>148</v>
      </c>
      <c r="F1931" s="6">
        <v>3500</v>
      </c>
      <c r="G1931" s="6">
        <v>2500</v>
      </c>
      <c r="H1931" s="6">
        <v>518000</v>
      </c>
      <c r="I1931" s="5">
        <f t="shared" si="30"/>
        <v>148000</v>
      </c>
    </row>
    <row r="1932" spans="1:9" x14ac:dyDescent="0.3">
      <c r="A1932" t="s">
        <v>267</v>
      </c>
      <c r="B1932" t="s">
        <v>13</v>
      </c>
      <c r="C1932" t="s">
        <v>26</v>
      </c>
      <c r="D1932" t="s">
        <v>31</v>
      </c>
      <c r="E1932">
        <v>99</v>
      </c>
      <c r="F1932" s="6">
        <v>1000</v>
      </c>
      <c r="G1932" s="6">
        <v>700</v>
      </c>
      <c r="H1932" s="6">
        <v>99000</v>
      </c>
      <c r="I1932" s="5">
        <f t="shared" si="30"/>
        <v>29700</v>
      </c>
    </row>
    <row r="1933" spans="1:9" x14ac:dyDescent="0.3">
      <c r="A1933" t="s">
        <v>489</v>
      </c>
      <c r="B1933" t="s">
        <v>9</v>
      </c>
      <c r="C1933" t="s">
        <v>17</v>
      </c>
      <c r="D1933" t="s">
        <v>11</v>
      </c>
      <c r="E1933">
        <v>52</v>
      </c>
      <c r="F1933" s="6">
        <v>3500</v>
      </c>
      <c r="G1933" s="6">
        <v>2500</v>
      </c>
      <c r="H1933" s="6">
        <v>182000</v>
      </c>
      <c r="I1933" s="5">
        <f t="shared" si="30"/>
        <v>52000</v>
      </c>
    </row>
    <row r="1934" spans="1:9" x14ac:dyDescent="0.3">
      <c r="A1934" t="s">
        <v>497</v>
      </c>
      <c r="B1934" t="s">
        <v>13</v>
      </c>
      <c r="C1934" t="s">
        <v>26</v>
      </c>
      <c r="D1934" t="s">
        <v>34</v>
      </c>
      <c r="E1934">
        <v>133</v>
      </c>
      <c r="F1934" s="6">
        <v>10000</v>
      </c>
      <c r="G1934" s="6">
        <v>7000</v>
      </c>
      <c r="H1934" s="6">
        <v>1330000</v>
      </c>
      <c r="I1934" s="5">
        <f t="shared" si="30"/>
        <v>399000</v>
      </c>
    </row>
    <row r="1935" spans="1:9" x14ac:dyDescent="0.3">
      <c r="A1935" t="s">
        <v>315</v>
      </c>
      <c r="B1935" t="s">
        <v>58</v>
      </c>
      <c r="C1935" t="s">
        <v>17</v>
      </c>
      <c r="D1935" t="s">
        <v>31</v>
      </c>
      <c r="E1935">
        <v>103</v>
      </c>
      <c r="F1935" s="6">
        <v>1000</v>
      </c>
      <c r="G1935" s="6">
        <v>700</v>
      </c>
      <c r="H1935" s="6">
        <v>103000</v>
      </c>
      <c r="I1935" s="5">
        <f t="shared" si="30"/>
        <v>30900</v>
      </c>
    </row>
    <row r="1936" spans="1:9" x14ac:dyDescent="0.3">
      <c r="A1936" t="s">
        <v>446</v>
      </c>
      <c r="B1936" t="s">
        <v>36</v>
      </c>
      <c r="C1936" t="s">
        <v>10</v>
      </c>
      <c r="D1936" t="s">
        <v>11</v>
      </c>
      <c r="E1936">
        <v>150</v>
      </c>
      <c r="F1936" s="6">
        <v>3500</v>
      </c>
      <c r="G1936" s="6">
        <v>2500</v>
      </c>
      <c r="H1936" s="6">
        <v>525000</v>
      </c>
      <c r="I1936" s="5">
        <f t="shared" si="30"/>
        <v>150000</v>
      </c>
    </row>
    <row r="1937" spans="1:9" x14ac:dyDescent="0.3">
      <c r="A1937" t="s">
        <v>625</v>
      </c>
      <c r="B1937" t="s">
        <v>40</v>
      </c>
      <c r="C1937" t="s">
        <v>26</v>
      </c>
      <c r="D1937" t="s">
        <v>24</v>
      </c>
      <c r="E1937">
        <v>130</v>
      </c>
      <c r="F1937" s="6">
        <v>1200</v>
      </c>
      <c r="G1937" s="6">
        <v>800</v>
      </c>
      <c r="H1937" s="6">
        <v>156000</v>
      </c>
      <c r="I1937" s="5">
        <f t="shared" si="30"/>
        <v>52000</v>
      </c>
    </row>
    <row r="1938" spans="1:9" x14ac:dyDescent="0.3">
      <c r="A1938" t="s">
        <v>111</v>
      </c>
      <c r="B1938" t="s">
        <v>40</v>
      </c>
      <c r="C1938" t="s">
        <v>14</v>
      </c>
      <c r="D1938" t="s">
        <v>21</v>
      </c>
      <c r="E1938">
        <v>88</v>
      </c>
      <c r="F1938" s="6">
        <v>600</v>
      </c>
      <c r="G1938" s="6">
        <v>400</v>
      </c>
      <c r="H1938" s="6">
        <v>52800</v>
      </c>
      <c r="I1938" s="5">
        <f t="shared" si="30"/>
        <v>17600</v>
      </c>
    </row>
    <row r="1939" spans="1:9" x14ac:dyDescent="0.3">
      <c r="A1939" t="s">
        <v>48</v>
      </c>
      <c r="B1939" t="s">
        <v>43</v>
      </c>
      <c r="C1939" t="s">
        <v>14</v>
      </c>
      <c r="D1939" t="s">
        <v>34</v>
      </c>
      <c r="E1939">
        <v>95</v>
      </c>
      <c r="F1939" s="6">
        <v>10000</v>
      </c>
      <c r="G1939" s="6">
        <v>7000</v>
      </c>
      <c r="H1939" s="6">
        <v>950000</v>
      </c>
      <c r="I1939" s="5">
        <f t="shared" si="30"/>
        <v>285000</v>
      </c>
    </row>
    <row r="1940" spans="1:9" x14ac:dyDescent="0.3">
      <c r="A1940" t="s">
        <v>360</v>
      </c>
      <c r="B1940" t="s">
        <v>23</v>
      </c>
      <c r="C1940" t="s">
        <v>26</v>
      </c>
      <c r="D1940" t="s">
        <v>18</v>
      </c>
      <c r="E1940">
        <v>93</v>
      </c>
      <c r="F1940" s="6">
        <v>6000</v>
      </c>
      <c r="G1940" s="6">
        <v>4000</v>
      </c>
      <c r="H1940" s="6">
        <v>558000</v>
      </c>
      <c r="I1940" s="5">
        <f t="shared" si="30"/>
        <v>186000</v>
      </c>
    </row>
    <row r="1941" spans="1:9" x14ac:dyDescent="0.3">
      <c r="A1941" t="s">
        <v>699</v>
      </c>
      <c r="B1941" t="s">
        <v>9</v>
      </c>
      <c r="C1941" t="s">
        <v>26</v>
      </c>
      <c r="D1941" t="s">
        <v>11</v>
      </c>
      <c r="E1941">
        <v>86</v>
      </c>
      <c r="F1941" s="6">
        <v>3500</v>
      </c>
      <c r="G1941" s="6">
        <v>2500</v>
      </c>
      <c r="H1941" s="6">
        <v>301000</v>
      </c>
      <c r="I1941" s="5">
        <f t="shared" si="30"/>
        <v>86000</v>
      </c>
    </row>
    <row r="1942" spans="1:9" x14ac:dyDescent="0.3">
      <c r="A1942" t="s">
        <v>471</v>
      </c>
      <c r="B1942" t="s">
        <v>36</v>
      </c>
      <c r="C1942" t="s">
        <v>14</v>
      </c>
      <c r="D1942" t="s">
        <v>31</v>
      </c>
      <c r="E1942">
        <v>95</v>
      </c>
      <c r="F1942" s="6">
        <v>1000</v>
      </c>
      <c r="G1942" s="6">
        <v>700</v>
      </c>
      <c r="H1942" s="6">
        <v>95000</v>
      </c>
      <c r="I1942" s="5">
        <f t="shared" si="30"/>
        <v>28500</v>
      </c>
    </row>
    <row r="1943" spans="1:9" x14ac:dyDescent="0.3">
      <c r="A1943" t="s">
        <v>280</v>
      </c>
      <c r="B1943" t="s">
        <v>23</v>
      </c>
      <c r="C1943" t="s">
        <v>26</v>
      </c>
      <c r="D1943" t="s">
        <v>15</v>
      </c>
      <c r="E1943">
        <v>148</v>
      </c>
      <c r="F1943" s="6">
        <v>4000</v>
      </c>
      <c r="G1943" s="6">
        <v>3000</v>
      </c>
      <c r="H1943" s="6">
        <v>592000</v>
      </c>
      <c r="I1943" s="5">
        <f t="shared" si="30"/>
        <v>148000</v>
      </c>
    </row>
    <row r="1944" spans="1:9" x14ac:dyDescent="0.3">
      <c r="A1944" t="s">
        <v>675</v>
      </c>
      <c r="B1944" t="s">
        <v>30</v>
      </c>
      <c r="C1944" t="s">
        <v>26</v>
      </c>
      <c r="D1944" t="s">
        <v>24</v>
      </c>
      <c r="E1944">
        <v>119</v>
      </c>
      <c r="F1944" s="6">
        <v>1200</v>
      </c>
      <c r="G1944" s="6">
        <v>800</v>
      </c>
      <c r="H1944" s="6">
        <v>142800</v>
      </c>
      <c r="I1944" s="5">
        <f t="shared" si="30"/>
        <v>47600</v>
      </c>
    </row>
    <row r="1945" spans="1:9" x14ac:dyDescent="0.3">
      <c r="A1945" t="s">
        <v>310</v>
      </c>
      <c r="B1945" t="s">
        <v>43</v>
      </c>
      <c r="C1945" t="s">
        <v>17</v>
      </c>
      <c r="D1945" t="s">
        <v>11</v>
      </c>
      <c r="E1945">
        <v>92</v>
      </c>
      <c r="F1945" s="6">
        <v>3500</v>
      </c>
      <c r="G1945" s="6">
        <v>2500</v>
      </c>
      <c r="H1945" s="6">
        <v>322000</v>
      </c>
      <c r="I1945" s="5">
        <f t="shared" si="30"/>
        <v>92000</v>
      </c>
    </row>
    <row r="1946" spans="1:9" x14ac:dyDescent="0.3">
      <c r="A1946" t="s">
        <v>254</v>
      </c>
      <c r="B1946" t="s">
        <v>30</v>
      </c>
      <c r="C1946" t="s">
        <v>26</v>
      </c>
      <c r="D1946" t="s">
        <v>11</v>
      </c>
      <c r="E1946">
        <v>138</v>
      </c>
      <c r="F1946" s="6">
        <v>3500</v>
      </c>
      <c r="G1946" s="6">
        <v>2500</v>
      </c>
      <c r="H1946" s="6">
        <v>483000</v>
      </c>
      <c r="I1946" s="5">
        <f t="shared" si="30"/>
        <v>138000</v>
      </c>
    </row>
    <row r="1947" spans="1:9" x14ac:dyDescent="0.3">
      <c r="A1947" t="s">
        <v>62</v>
      </c>
      <c r="B1947" t="s">
        <v>9</v>
      </c>
      <c r="C1947" t="s">
        <v>10</v>
      </c>
      <c r="D1947" t="s">
        <v>21</v>
      </c>
      <c r="E1947">
        <v>77</v>
      </c>
      <c r="F1947" s="6">
        <v>600</v>
      </c>
      <c r="G1947" s="6">
        <v>400</v>
      </c>
      <c r="H1947" s="6">
        <v>46200</v>
      </c>
      <c r="I1947" s="5">
        <f t="shared" si="30"/>
        <v>15400</v>
      </c>
    </row>
    <row r="1948" spans="1:9" x14ac:dyDescent="0.3">
      <c r="A1948" t="s">
        <v>277</v>
      </c>
      <c r="B1948" t="s">
        <v>30</v>
      </c>
      <c r="C1948" t="s">
        <v>17</v>
      </c>
      <c r="D1948" t="s">
        <v>15</v>
      </c>
      <c r="E1948">
        <v>119</v>
      </c>
      <c r="F1948" s="6">
        <v>4000</v>
      </c>
      <c r="G1948" s="6">
        <v>3000</v>
      </c>
      <c r="H1948" s="6">
        <v>476000</v>
      </c>
      <c r="I1948" s="5">
        <f t="shared" si="30"/>
        <v>119000</v>
      </c>
    </row>
    <row r="1949" spans="1:9" x14ac:dyDescent="0.3">
      <c r="A1949" t="s">
        <v>623</v>
      </c>
      <c r="B1949" t="s">
        <v>30</v>
      </c>
      <c r="C1949" t="s">
        <v>10</v>
      </c>
      <c r="D1949" t="s">
        <v>11</v>
      </c>
      <c r="E1949">
        <v>107</v>
      </c>
      <c r="F1949" s="6">
        <v>3500</v>
      </c>
      <c r="G1949" s="6">
        <v>2500</v>
      </c>
      <c r="H1949" s="6">
        <v>374500</v>
      </c>
      <c r="I1949" s="5">
        <f t="shared" si="30"/>
        <v>107000</v>
      </c>
    </row>
    <row r="1950" spans="1:9" x14ac:dyDescent="0.3">
      <c r="A1950" t="s">
        <v>33</v>
      </c>
      <c r="B1950" t="s">
        <v>23</v>
      </c>
      <c r="C1950" t="s">
        <v>17</v>
      </c>
      <c r="D1950" t="s">
        <v>11</v>
      </c>
      <c r="E1950">
        <v>82</v>
      </c>
      <c r="F1950" s="6">
        <v>3500</v>
      </c>
      <c r="G1950" s="6">
        <v>2500</v>
      </c>
      <c r="H1950" s="6">
        <v>287000</v>
      </c>
      <c r="I1950" s="5">
        <f t="shared" si="30"/>
        <v>82000</v>
      </c>
    </row>
    <row r="1951" spans="1:9" x14ac:dyDescent="0.3">
      <c r="A1951" t="s">
        <v>689</v>
      </c>
      <c r="B1951" t="s">
        <v>23</v>
      </c>
      <c r="C1951" t="s">
        <v>10</v>
      </c>
      <c r="D1951" t="s">
        <v>18</v>
      </c>
      <c r="E1951">
        <v>127</v>
      </c>
      <c r="F1951" s="6">
        <v>6000</v>
      </c>
      <c r="G1951" s="6">
        <v>4000</v>
      </c>
      <c r="H1951" s="6">
        <v>762000</v>
      </c>
      <c r="I1951" s="5">
        <f t="shared" si="30"/>
        <v>254000</v>
      </c>
    </row>
    <row r="1952" spans="1:9" x14ac:dyDescent="0.3">
      <c r="A1952" t="s">
        <v>649</v>
      </c>
      <c r="B1952" t="s">
        <v>40</v>
      </c>
      <c r="C1952" t="s">
        <v>10</v>
      </c>
      <c r="D1952" t="s">
        <v>15</v>
      </c>
      <c r="E1952">
        <v>77</v>
      </c>
      <c r="F1952" s="6">
        <v>4000</v>
      </c>
      <c r="G1952" s="6">
        <v>3000</v>
      </c>
      <c r="H1952" s="6">
        <v>308000</v>
      </c>
      <c r="I1952" s="5">
        <f t="shared" si="30"/>
        <v>77000</v>
      </c>
    </row>
    <row r="1953" spans="1:9" x14ac:dyDescent="0.3">
      <c r="A1953" t="s">
        <v>588</v>
      </c>
      <c r="B1953" t="s">
        <v>36</v>
      </c>
      <c r="C1953" t="s">
        <v>17</v>
      </c>
      <c r="D1953" t="s">
        <v>34</v>
      </c>
      <c r="E1953">
        <v>91</v>
      </c>
      <c r="F1953" s="6">
        <v>10000</v>
      </c>
      <c r="G1953" s="6">
        <v>7000</v>
      </c>
      <c r="H1953" s="6">
        <v>910000</v>
      </c>
      <c r="I1953" s="5">
        <f t="shared" si="30"/>
        <v>273000</v>
      </c>
    </row>
    <row r="1954" spans="1:9" x14ac:dyDescent="0.3">
      <c r="A1954" t="s">
        <v>253</v>
      </c>
      <c r="B1954" t="s">
        <v>36</v>
      </c>
      <c r="C1954" t="s">
        <v>17</v>
      </c>
      <c r="D1954" t="s">
        <v>15</v>
      </c>
      <c r="E1954">
        <v>72</v>
      </c>
      <c r="F1954" s="6">
        <v>4000</v>
      </c>
      <c r="G1954" s="6">
        <v>3000</v>
      </c>
      <c r="H1954" s="6">
        <v>288000</v>
      </c>
      <c r="I1954" s="5">
        <f t="shared" si="30"/>
        <v>72000</v>
      </c>
    </row>
    <row r="1955" spans="1:9" x14ac:dyDescent="0.3">
      <c r="A1955" t="s">
        <v>214</v>
      </c>
      <c r="B1955" t="s">
        <v>36</v>
      </c>
      <c r="C1955" t="s">
        <v>10</v>
      </c>
      <c r="D1955" t="s">
        <v>21</v>
      </c>
      <c r="E1955">
        <v>94</v>
      </c>
      <c r="F1955" s="6">
        <v>600</v>
      </c>
      <c r="G1955" s="6">
        <v>400</v>
      </c>
      <c r="H1955" s="6">
        <v>56400</v>
      </c>
      <c r="I1955" s="5">
        <f t="shared" si="30"/>
        <v>18800</v>
      </c>
    </row>
    <row r="1956" spans="1:9" x14ac:dyDescent="0.3">
      <c r="A1956" t="s">
        <v>514</v>
      </c>
      <c r="B1956" t="s">
        <v>28</v>
      </c>
      <c r="C1956" t="s">
        <v>17</v>
      </c>
      <c r="D1956" t="s">
        <v>11</v>
      </c>
      <c r="E1956">
        <v>61</v>
      </c>
      <c r="F1956" s="6">
        <v>3500</v>
      </c>
      <c r="G1956" s="6">
        <v>2500</v>
      </c>
      <c r="H1956" s="6">
        <v>213500</v>
      </c>
      <c r="I1956" s="5">
        <f t="shared" si="30"/>
        <v>61000</v>
      </c>
    </row>
    <row r="1957" spans="1:9" x14ac:dyDescent="0.3">
      <c r="A1957" t="s">
        <v>612</v>
      </c>
      <c r="B1957" t="s">
        <v>43</v>
      </c>
      <c r="C1957" t="s">
        <v>26</v>
      </c>
      <c r="D1957" t="s">
        <v>34</v>
      </c>
      <c r="E1957">
        <v>129</v>
      </c>
      <c r="F1957" s="6">
        <v>10000</v>
      </c>
      <c r="G1957" s="6">
        <v>7000</v>
      </c>
      <c r="H1957" s="6">
        <v>1290000</v>
      </c>
      <c r="I1957" s="5">
        <f t="shared" si="30"/>
        <v>387000</v>
      </c>
    </row>
    <row r="1958" spans="1:9" x14ac:dyDescent="0.3">
      <c r="A1958" t="s">
        <v>395</v>
      </c>
      <c r="B1958" t="s">
        <v>23</v>
      </c>
      <c r="C1958" t="s">
        <v>10</v>
      </c>
      <c r="D1958" t="s">
        <v>21</v>
      </c>
      <c r="E1958">
        <v>136</v>
      </c>
      <c r="F1958" s="6">
        <v>600</v>
      </c>
      <c r="G1958" s="6">
        <v>400</v>
      </c>
      <c r="H1958" s="6">
        <v>81600</v>
      </c>
      <c r="I1958" s="5">
        <f t="shared" si="30"/>
        <v>27200</v>
      </c>
    </row>
    <row r="1959" spans="1:9" x14ac:dyDescent="0.3">
      <c r="A1959" t="s">
        <v>212</v>
      </c>
      <c r="B1959" t="s">
        <v>58</v>
      </c>
      <c r="C1959" t="s">
        <v>17</v>
      </c>
      <c r="D1959" t="s">
        <v>18</v>
      </c>
      <c r="E1959">
        <v>87</v>
      </c>
      <c r="F1959" s="6">
        <v>6000</v>
      </c>
      <c r="G1959" s="6">
        <v>4000</v>
      </c>
      <c r="H1959" s="6">
        <v>522000</v>
      </c>
      <c r="I1959" s="5">
        <f t="shared" si="30"/>
        <v>174000</v>
      </c>
    </row>
    <row r="1960" spans="1:9" x14ac:dyDescent="0.3">
      <c r="A1960" t="s">
        <v>480</v>
      </c>
      <c r="B1960" t="s">
        <v>9</v>
      </c>
      <c r="C1960" t="s">
        <v>14</v>
      </c>
      <c r="D1960" t="s">
        <v>11</v>
      </c>
      <c r="E1960">
        <v>131</v>
      </c>
      <c r="F1960" s="6">
        <v>3500</v>
      </c>
      <c r="G1960" s="6">
        <v>2500</v>
      </c>
      <c r="H1960" s="6">
        <v>458500</v>
      </c>
      <c r="I1960" s="5">
        <f t="shared" si="30"/>
        <v>131000</v>
      </c>
    </row>
    <row r="1961" spans="1:9" x14ac:dyDescent="0.3">
      <c r="A1961" t="s">
        <v>623</v>
      </c>
      <c r="B1961" t="s">
        <v>9</v>
      </c>
      <c r="C1961" t="s">
        <v>10</v>
      </c>
      <c r="D1961" t="s">
        <v>21</v>
      </c>
      <c r="E1961">
        <v>116</v>
      </c>
      <c r="F1961" s="6">
        <v>600</v>
      </c>
      <c r="G1961" s="6">
        <v>400</v>
      </c>
      <c r="H1961" s="6">
        <v>69600</v>
      </c>
      <c r="I1961" s="5">
        <f t="shared" si="30"/>
        <v>23200</v>
      </c>
    </row>
    <row r="1962" spans="1:9" x14ac:dyDescent="0.3">
      <c r="A1962" t="s">
        <v>533</v>
      </c>
      <c r="B1962" t="s">
        <v>13</v>
      </c>
      <c r="C1962" t="s">
        <v>17</v>
      </c>
      <c r="D1962" t="s">
        <v>31</v>
      </c>
      <c r="E1962">
        <v>92</v>
      </c>
      <c r="F1962" s="6">
        <v>1000</v>
      </c>
      <c r="G1962" s="6">
        <v>700</v>
      </c>
      <c r="H1962" s="6">
        <v>92000</v>
      </c>
      <c r="I1962" s="5">
        <f t="shared" si="30"/>
        <v>27600</v>
      </c>
    </row>
    <row r="1963" spans="1:9" x14ac:dyDescent="0.3">
      <c r="A1963" t="s">
        <v>132</v>
      </c>
      <c r="B1963" t="s">
        <v>43</v>
      </c>
      <c r="C1963" t="s">
        <v>17</v>
      </c>
      <c r="D1963" t="s">
        <v>31</v>
      </c>
      <c r="E1963">
        <v>99</v>
      </c>
      <c r="F1963" s="6">
        <v>1000</v>
      </c>
      <c r="G1963" s="6">
        <v>700</v>
      </c>
      <c r="H1963" s="6">
        <v>99000</v>
      </c>
      <c r="I1963" s="5">
        <f t="shared" si="30"/>
        <v>29700</v>
      </c>
    </row>
    <row r="1964" spans="1:9" x14ac:dyDescent="0.3">
      <c r="A1964" t="s">
        <v>322</v>
      </c>
      <c r="B1964" t="s">
        <v>30</v>
      </c>
      <c r="C1964" t="s">
        <v>26</v>
      </c>
      <c r="D1964" t="s">
        <v>24</v>
      </c>
      <c r="E1964">
        <v>73</v>
      </c>
      <c r="F1964" s="6">
        <v>1200</v>
      </c>
      <c r="G1964" s="6">
        <v>800</v>
      </c>
      <c r="H1964" s="6">
        <v>87600</v>
      </c>
      <c r="I1964" s="5">
        <f t="shared" si="30"/>
        <v>29200</v>
      </c>
    </row>
    <row r="1965" spans="1:9" x14ac:dyDescent="0.3">
      <c r="A1965" t="s">
        <v>386</v>
      </c>
      <c r="B1965" t="s">
        <v>43</v>
      </c>
      <c r="C1965" t="s">
        <v>17</v>
      </c>
      <c r="D1965" t="s">
        <v>15</v>
      </c>
      <c r="E1965">
        <v>141</v>
      </c>
      <c r="F1965" s="6">
        <v>4000</v>
      </c>
      <c r="G1965" s="6">
        <v>3000</v>
      </c>
      <c r="H1965" s="6">
        <v>564000</v>
      </c>
      <c r="I1965" s="5">
        <f t="shared" si="30"/>
        <v>141000</v>
      </c>
    </row>
    <row r="1966" spans="1:9" x14ac:dyDescent="0.3">
      <c r="A1966" t="s">
        <v>50</v>
      </c>
      <c r="B1966" t="s">
        <v>20</v>
      </c>
      <c r="C1966" t="s">
        <v>17</v>
      </c>
      <c r="D1966" t="s">
        <v>11</v>
      </c>
      <c r="E1966">
        <v>98</v>
      </c>
      <c r="F1966" s="6">
        <v>3500</v>
      </c>
      <c r="G1966" s="6">
        <v>2500</v>
      </c>
      <c r="H1966" s="6">
        <v>343000</v>
      </c>
      <c r="I1966" s="5">
        <f t="shared" si="30"/>
        <v>98000</v>
      </c>
    </row>
    <row r="1967" spans="1:9" x14ac:dyDescent="0.3">
      <c r="A1967" t="s">
        <v>700</v>
      </c>
      <c r="B1967" t="s">
        <v>30</v>
      </c>
      <c r="C1967" t="s">
        <v>10</v>
      </c>
      <c r="D1967" t="s">
        <v>31</v>
      </c>
      <c r="E1967">
        <v>100</v>
      </c>
      <c r="F1967" s="6">
        <v>1000</v>
      </c>
      <c r="G1967" s="6">
        <v>700</v>
      </c>
      <c r="H1967" s="6">
        <v>100000</v>
      </c>
      <c r="I1967" s="5">
        <f t="shared" si="30"/>
        <v>30000</v>
      </c>
    </row>
    <row r="1968" spans="1:9" x14ac:dyDescent="0.3">
      <c r="A1968" t="s">
        <v>563</v>
      </c>
      <c r="B1968" t="s">
        <v>28</v>
      </c>
      <c r="C1968" t="s">
        <v>26</v>
      </c>
      <c r="D1968" t="s">
        <v>21</v>
      </c>
      <c r="E1968">
        <v>109</v>
      </c>
      <c r="F1968" s="6">
        <v>600</v>
      </c>
      <c r="G1968" s="6">
        <v>400</v>
      </c>
      <c r="H1968" s="6">
        <v>65400</v>
      </c>
      <c r="I1968" s="5">
        <f t="shared" si="30"/>
        <v>21800</v>
      </c>
    </row>
    <row r="1969" spans="1:9" x14ac:dyDescent="0.3">
      <c r="A1969" t="s">
        <v>55</v>
      </c>
      <c r="B1969" t="s">
        <v>43</v>
      </c>
      <c r="C1969" t="s">
        <v>14</v>
      </c>
      <c r="D1969" t="s">
        <v>18</v>
      </c>
      <c r="E1969">
        <v>131</v>
      </c>
      <c r="F1969" s="6">
        <v>6000</v>
      </c>
      <c r="G1969" s="6">
        <v>4000</v>
      </c>
      <c r="H1969" s="6">
        <v>786000</v>
      </c>
      <c r="I1969" s="5">
        <f t="shared" si="30"/>
        <v>262000</v>
      </c>
    </row>
    <row r="1970" spans="1:9" x14ac:dyDescent="0.3">
      <c r="A1970" t="s">
        <v>243</v>
      </c>
      <c r="B1970" t="s">
        <v>9</v>
      </c>
      <c r="C1970" t="s">
        <v>10</v>
      </c>
      <c r="D1970" t="s">
        <v>31</v>
      </c>
      <c r="E1970">
        <v>66</v>
      </c>
      <c r="F1970" s="6">
        <v>1000</v>
      </c>
      <c r="G1970" s="6">
        <v>700</v>
      </c>
      <c r="H1970" s="6">
        <v>66000</v>
      </c>
      <c r="I1970" s="5">
        <f t="shared" si="30"/>
        <v>19800</v>
      </c>
    </row>
    <row r="1971" spans="1:9" x14ac:dyDescent="0.3">
      <c r="A1971" t="s">
        <v>683</v>
      </c>
      <c r="B1971" t="s">
        <v>9</v>
      </c>
      <c r="C1971" t="s">
        <v>26</v>
      </c>
      <c r="D1971" t="s">
        <v>11</v>
      </c>
      <c r="E1971">
        <v>75</v>
      </c>
      <c r="F1971" s="6">
        <v>3500</v>
      </c>
      <c r="G1971" s="6">
        <v>2500</v>
      </c>
      <c r="H1971" s="6">
        <v>262500</v>
      </c>
      <c r="I1971" s="5">
        <f t="shared" si="30"/>
        <v>75000</v>
      </c>
    </row>
    <row r="1972" spans="1:9" x14ac:dyDescent="0.3">
      <c r="A1972" t="s">
        <v>194</v>
      </c>
      <c r="B1972" t="s">
        <v>23</v>
      </c>
      <c r="C1972" t="s">
        <v>14</v>
      </c>
      <c r="D1972" t="s">
        <v>11</v>
      </c>
      <c r="E1972">
        <v>58</v>
      </c>
      <c r="F1972" s="6">
        <v>3500</v>
      </c>
      <c r="G1972" s="6">
        <v>2500</v>
      </c>
      <c r="H1972" s="6">
        <v>203000</v>
      </c>
      <c r="I1972" s="5">
        <f t="shared" si="30"/>
        <v>58000</v>
      </c>
    </row>
    <row r="1973" spans="1:9" x14ac:dyDescent="0.3">
      <c r="A1973" t="s">
        <v>701</v>
      </c>
      <c r="B1973" t="s">
        <v>43</v>
      </c>
      <c r="C1973" t="s">
        <v>14</v>
      </c>
      <c r="D1973" t="s">
        <v>11</v>
      </c>
      <c r="E1973">
        <v>55</v>
      </c>
      <c r="F1973" s="6">
        <v>3500</v>
      </c>
      <c r="G1973" s="6">
        <v>2500</v>
      </c>
      <c r="H1973" s="6">
        <v>192500</v>
      </c>
      <c r="I1973" s="5">
        <f t="shared" si="30"/>
        <v>55000</v>
      </c>
    </row>
    <row r="1974" spans="1:9" x14ac:dyDescent="0.3">
      <c r="A1974" t="s">
        <v>104</v>
      </c>
      <c r="B1974" t="s">
        <v>23</v>
      </c>
      <c r="C1974" t="s">
        <v>10</v>
      </c>
      <c r="D1974" t="s">
        <v>34</v>
      </c>
      <c r="E1974">
        <v>143</v>
      </c>
      <c r="F1974" s="6">
        <v>10000</v>
      </c>
      <c r="G1974" s="6">
        <v>7000</v>
      </c>
      <c r="H1974" s="6">
        <v>1430000</v>
      </c>
      <c r="I1974" s="5">
        <f t="shared" si="30"/>
        <v>429000</v>
      </c>
    </row>
    <row r="1975" spans="1:9" x14ac:dyDescent="0.3">
      <c r="A1975" t="s">
        <v>588</v>
      </c>
      <c r="B1975" t="s">
        <v>40</v>
      </c>
      <c r="C1975" t="s">
        <v>14</v>
      </c>
      <c r="D1975" t="s">
        <v>11</v>
      </c>
      <c r="E1975">
        <v>98</v>
      </c>
      <c r="F1975" s="6">
        <v>3500</v>
      </c>
      <c r="G1975" s="6">
        <v>2500</v>
      </c>
      <c r="H1975" s="6">
        <v>343000</v>
      </c>
      <c r="I1975" s="5">
        <f t="shared" si="30"/>
        <v>98000</v>
      </c>
    </row>
    <row r="1976" spans="1:9" x14ac:dyDescent="0.3">
      <c r="A1976" t="s">
        <v>627</v>
      </c>
      <c r="B1976" t="s">
        <v>58</v>
      </c>
      <c r="C1976" t="s">
        <v>26</v>
      </c>
      <c r="D1976" t="s">
        <v>15</v>
      </c>
      <c r="E1976">
        <v>72</v>
      </c>
      <c r="F1976" s="6">
        <v>4000</v>
      </c>
      <c r="G1976" s="6">
        <v>3000</v>
      </c>
      <c r="H1976" s="6">
        <v>288000</v>
      </c>
      <c r="I1976" s="5">
        <f t="shared" si="30"/>
        <v>72000</v>
      </c>
    </row>
    <row r="1977" spans="1:9" x14ac:dyDescent="0.3">
      <c r="A1977" t="s">
        <v>310</v>
      </c>
      <c r="B1977" t="s">
        <v>9</v>
      </c>
      <c r="C1977" t="s">
        <v>26</v>
      </c>
      <c r="D1977" t="s">
        <v>18</v>
      </c>
      <c r="E1977">
        <v>97</v>
      </c>
      <c r="F1977" s="6">
        <v>6000</v>
      </c>
      <c r="G1977" s="6">
        <v>4000</v>
      </c>
      <c r="H1977" s="6">
        <v>582000</v>
      </c>
      <c r="I1977" s="5">
        <f t="shared" si="30"/>
        <v>194000</v>
      </c>
    </row>
    <row r="1978" spans="1:9" x14ac:dyDescent="0.3">
      <c r="A1978" t="s">
        <v>284</v>
      </c>
      <c r="B1978" t="s">
        <v>58</v>
      </c>
      <c r="C1978" t="s">
        <v>10</v>
      </c>
      <c r="D1978" t="s">
        <v>31</v>
      </c>
      <c r="E1978">
        <v>125</v>
      </c>
      <c r="F1978" s="6">
        <v>1000</v>
      </c>
      <c r="G1978" s="6">
        <v>700</v>
      </c>
      <c r="H1978" s="6">
        <v>125000</v>
      </c>
      <c r="I1978" s="5">
        <f t="shared" si="30"/>
        <v>37500</v>
      </c>
    </row>
    <row r="1979" spans="1:9" x14ac:dyDescent="0.3">
      <c r="A1979" t="s">
        <v>273</v>
      </c>
      <c r="B1979" t="s">
        <v>58</v>
      </c>
      <c r="C1979" t="s">
        <v>26</v>
      </c>
      <c r="D1979" t="s">
        <v>31</v>
      </c>
      <c r="E1979">
        <v>89</v>
      </c>
      <c r="F1979" s="6">
        <v>1000</v>
      </c>
      <c r="G1979" s="6">
        <v>700</v>
      </c>
      <c r="H1979" s="6">
        <v>89000</v>
      </c>
      <c r="I1979" s="5">
        <f t="shared" si="30"/>
        <v>26700</v>
      </c>
    </row>
    <row r="1980" spans="1:9" x14ac:dyDescent="0.3">
      <c r="A1980" t="s">
        <v>62</v>
      </c>
      <c r="B1980" t="s">
        <v>40</v>
      </c>
      <c r="C1980" t="s">
        <v>14</v>
      </c>
      <c r="D1980" t="s">
        <v>18</v>
      </c>
      <c r="E1980">
        <v>111</v>
      </c>
      <c r="F1980" s="6">
        <v>6000</v>
      </c>
      <c r="G1980" s="6">
        <v>4000</v>
      </c>
      <c r="H1980" s="6">
        <v>666000</v>
      </c>
      <c r="I1980" s="5">
        <f t="shared" si="30"/>
        <v>222000</v>
      </c>
    </row>
    <row r="1981" spans="1:9" x14ac:dyDescent="0.3">
      <c r="A1981" t="s">
        <v>238</v>
      </c>
      <c r="B1981" t="s">
        <v>36</v>
      </c>
      <c r="C1981" t="s">
        <v>17</v>
      </c>
      <c r="D1981" t="s">
        <v>15</v>
      </c>
      <c r="E1981">
        <v>89</v>
      </c>
      <c r="F1981" s="6">
        <v>4000</v>
      </c>
      <c r="G1981" s="6">
        <v>3000</v>
      </c>
      <c r="H1981" s="6">
        <v>356000</v>
      </c>
      <c r="I1981" s="5">
        <f t="shared" si="30"/>
        <v>89000</v>
      </c>
    </row>
    <row r="1982" spans="1:9" x14ac:dyDescent="0.3">
      <c r="A1982" t="s">
        <v>310</v>
      </c>
      <c r="B1982" t="s">
        <v>9</v>
      </c>
      <c r="C1982" t="s">
        <v>10</v>
      </c>
      <c r="D1982" t="s">
        <v>21</v>
      </c>
      <c r="E1982">
        <v>83</v>
      </c>
      <c r="F1982" s="6">
        <v>600</v>
      </c>
      <c r="G1982" s="6">
        <v>400</v>
      </c>
      <c r="H1982" s="6">
        <v>49800</v>
      </c>
      <c r="I1982" s="5">
        <f t="shared" si="30"/>
        <v>16600</v>
      </c>
    </row>
    <row r="1983" spans="1:9" x14ac:dyDescent="0.3">
      <c r="A1983" t="s">
        <v>104</v>
      </c>
      <c r="B1983" t="s">
        <v>58</v>
      </c>
      <c r="C1983" t="s">
        <v>10</v>
      </c>
      <c r="D1983" t="s">
        <v>11</v>
      </c>
      <c r="E1983">
        <v>133</v>
      </c>
      <c r="F1983" s="6">
        <v>3500</v>
      </c>
      <c r="G1983" s="6">
        <v>2500</v>
      </c>
      <c r="H1983" s="6">
        <v>465500</v>
      </c>
      <c r="I1983" s="5">
        <f t="shared" si="30"/>
        <v>133000</v>
      </c>
    </row>
    <row r="1984" spans="1:9" x14ac:dyDescent="0.3">
      <c r="A1984" t="s">
        <v>429</v>
      </c>
      <c r="B1984" t="s">
        <v>28</v>
      </c>
      <c r="C1984" t="s">
        <v>14</v>
      </c>
      <c r="D1984" t="s">
        <v>24</v>
      </c>
      <c r="E1984">
        <v>54</v>
      </c>
      <c r="F1984" s="6">
        <v>1200</v>
      </c>
      <c r="G1984" s="6">
        <v>800</v>
      </c>
      <c r="H1984" s="6">
        <v>64800</v>
      </c>
      <c r="I1984" s="5">
        <f t="shared" si="30"/>
        <v>21600</v>
      </c>
    </row>
    <row r="1985" spans="1:9" x14ac:dyDescent="0.3">
      <c r="A1985" t="s">
        <v>535</v>
      </c>
      <c r="B1985" t="s">
        <v>9</v>
      </c>
      <c r="C1985" t="s">
        <v>14</v>
      </c>
      <c r="D1985" t="s">
        <v>24</v>
      </c>
      <c r="E1985">
        <v>95</v>
      </c>
      <c r="F1985" s="6">
        <v>1200</v>
      </c>
      <c r="G1985" s="6">
        <v>800</v>
      </c>
      <c r="H1985" s="6">
        <v>114000</v>
      </c>
      <c r="I1985" s="5">
        <f t="shared" si="30"/>
        <v>38000</v>
      </c>
    </row>
    <row r="1986" spans="1:9" x14ac:dyDescent="0.3">
      <c r="A1986" t="s">
        <v>702</v>
      </c>
      <c r="B1986" t="s">
        <v>13</v>
      </c>
      <c r="C1986" t="s">
        <v>17</v>
      </c>
      <c r="D1986" t="s">
        <v>24</v>
      </c>
      <c r="E1986">
        <v>53</v>
      </c>
      <c r="F1986" s="6">
        <v>1200</v>
      </c>
      <c r="G1986" s="6">
        <v>800</v>
      </c>
      <c r="H1986" s="6">
        <v>63600</v>
      </c>
      <c r="I1986" s="5">
        <f t="shared" ref="I1986:I2001" si="31">H1986-(G1986*E1986)</f>
        <v>21200</v>
      </c>
    </row>
    <row r="1987" spans="1:9" x14ac:dyDescent="0.3">
      <c r="A1987" t="s">
        <v>635</v>
      </c>
      <c r="B1987" t="s">
        <v>43</v>
      </c>
      <c r="C1987" t="s">
        <v>10</v>
      </c>
      <c r="D1987" t="s">
        <v>31</v>
      </c>
      <c r="E1987">
        <v>87</v>
      </c>
      <c r="F1987" s="6">
        <v>1000</v>
      </c>
      <c r="G1987" s="6">
        <v>700</v>
      </c>
      <c r="H1987" s="6">
        <v>87000</v>
      </c>
      <c r="I1987" s="5">
        <f t="shared" si="31"/>
        <v>26100</v>
      </c>
    </row>
    <row r="1988" spans="1:9" x14ac:dyDescent="0.3">
      <c r="A1988" t="s">
        <v>644</v>
      </c>
      <c r="B1988" t="s">
        <v>30</v>
      </c>
      <c r="C1988" t="s">
        <v>26</v>
      </c>
      <c r="D1988" t="s">
        <v>24</v>
      </c>
      <c r="E1988">
        <v>147</v>
      </c>
      <c r="F1988" s="6">
        <v>1200</v>
      </c>
      <c r="G1988" s="6">
        <v>800</v>
      </c>
      <c r="H1988" s="6">
        <v>176400</v>
      </c>
      <c r="I1988" s="5">
        <f t="shared" si="31"/>
        <v>58800</v>
      </c>
    </row>
    <row r="1989" spans="1:9" x14ac:dyDescent="0.3">
      <c r="A1989" t="s">
        <v>231</v>
      </c>
      <c r="B1989" t="s">
        <v>23</v>
      </c>
      <c r="C1989" t="s">
        <v>17</v>
      </c>
      <c r="D1989" t="s">
        <v>24</v>
      </c>
      <c r="E1989">
        <v>139</v>
      </c>
      <c r="F1989" s="6">
        <v>1200</v>
      </c>
      <c r="G1989" s="6">
        <v>800</v>
      </c>
      <c r="H1989" s="6">
        <v>166800</v>
      </c>
      <c r="I1989" s="5">
        <f t="shared" si="31"/>
        <v>55600</v>
      </c>
    </row>
    <row r="1990" spans="1:9" x14ac:dyDescent="0.3">
      <c r="A1990" t="s">
        <v>414</v>
      </c>
      <c r="B1990" t="s">
        <v>20</v>
      </c>
      <c r="C1990" t="s">
        <v>10</v>
      </c>
      <c r="D1990" t="s">
        <v>31</v>
      </c>
      <c r="E1990">
        <v>147</v>
      </c>
      <c r="F1990" s="6">
        <v>1000</v>
      </c>
      <c r="G1990" s="6">
        <v>700</v>
      </c>
      <c r="H1990" s="6">
        <v>147000</v>
      </c>
      <c r="I1990" s="5">
        <f t="shared" si="31"/>
        <v>44100</v>
      </c>
    </row>
    <row r="1991" spans="1:9" x14ac:dyDescent="0.3">
      <c r="A1991" t="s">
        <v>310</v>
      </c>
      <c r="B1991" t="s">
        <v>40</v>
      </c>
      <c r="C1991" t="s">
        <v>14</v>
      </c>
      <c r="D1991" t="s">
        <v>31</v>
      </c>
      <c r="E1991">
        <v>59</v>
      </c>
      <c r="F1991" s="6">
        <v>1000</v>
      </c>
      <c r="G1991" s="6">
        <v>700</v>
      </c>
      <c r="H1991" s="6">
        <v>59000</v>
      </c>
      <c r="I1991" s="5">
        <f t="shared" si="31"/>
        <v>17700</v>
      </c>
    </row>
    <row r="1992" spans="1:9" x14ac:dyDescent="0.3">
      <c r="A1992" t="s">
        <v>700</v>
      </c>
      <c r="B1992" t="s">
        <v>58</v>
      </c>
      <c r="C1992" t="s">
        <v>17</v>
      </c>
      <c r="D1992" t="s">
        <v>31</v>
      </c>
      <c r="E1992">
        <v>136</v>
      </c>
      <c r="F1992" s="6">
        <v>1000</v>
      </c>
      <c r="G1992" s="6">
        <v>700</v>
      </c>
      <c r="H1992" s="6">
        <v>136000</v>
      </c>
      <c r="I1992" s="5">
        <f t="shared" si="31"/>
        <v>40800</v>
      </c>
    </row>
    <row r="1993" spans="1:9" x14ac:dyDescent="0.3">
      <c r="A1993" t="s">
        <v>703</v>
      </c>
      <c r="B1993" t="s">
        <v>58</v>
      </c>
      <c r="C1993" t="s">
        <v>10</v>
      </c>
      <c r="D1993" t="s">
        <v>15</v>
      </c>
      <c r="E1993">
        <v>64</v>
      </c>
      <c r="F1993" s="6">
        <v>4000</v>
      </c>
      <c r="G1993" s="6">
        <v>3000</v>
      </c>
      <c r="H1993" s="6">
        <v>256000</v>
      </c>
      <c r="I1993" s="5">
        <f t="shared" si="31"/>
        <v>64000</v>
      </c>
    </row>
    <row r="1994" spans="1:9" x14ac:dyDescent="0.3">
      <c r="A1994" t="s">
        <v>427</v>
      </c>
      <c r="B1994" t="s">
        <v>30</v>
      </c>
      <c r="C1994" t="s">
        <v>26</v>
      </c>
      <c r="D1994" t="s">
        <v>31</v>
      </c>
      <c r="E1994">
        <v>97</v>
      </c>
      <c r="F1994" s="6">
        <v>1000</v>
      </c>
      <c r="G1994" s="6">
        <v>700</v>
      </c>
      <c r="H1994" s="6">
        <v>97000</v>
      </c>
      <c r="I1994" s="5">
        <f t="shared" si="31"/>
        <v>29100</v>
      </c>
    </row>
    <row r="1995" spans="1:9" x14ac:dyDescent="0.3">
      <c r="A1995" t="s">
        <v>154</v>
      </c>
      <c r="B1995" t="s">
        <v>36</v>
      </c>
      <c r="C1995" t="s">
        <v>17</v>
      </c>
      <c r="D1995" t="s">
        <v>31</v>
      </c>
      <c r="E1995">
        <v>80</v>
      </c>
      <c r="F1995" s="6">
        <v>1000</v>
      </c>
      <c r="G1995" s="6">
        <v>700</v>
      </c>
      <c r="H1995" s="6">
        <v>80000</v>
      </c>
      <c r="I1995" s="5">
        <f t="shared" si="31"/>
        <v>24000</v>
      </c>
    </row>
    <row r="1996" spans="1:9" x14ac:dyDescent="0.3">
      <c r="A1996" t="s">
        <v>234</v>
      </c>
      <c r="B1996" t="s">
        <v>20</v>
      </c>
      <c r="C1996" t="s">
        <v>26</v>
      </c>
      <c r="D1996" t="s">
        <v>18</v>
      </c>
      <c r="E1996">
        <v>93</v>
      </c>
      <c r="F1996" s="6">
        <v>6000</v>
      </c>
      <c r="G1996" s="6">
        <v>4000</v>
      </c>
      <c r="H1996" s="6">
        <v>558000</v>
      </c>
      <c r="I1996" s="5">
        <f t="shared" si="31"/>
        <v>186000</v>
      </c>
    </row>
    <row r="1997" spans="1:9" x14ac:dyDescent="0.3">
      <c r="A1997" t="s">
        <v>182</v>
      </c>
      <c r="B1997" t="s">
        <v>20</v>
      </c>
      <c r="C1997" t="s">
        <v>26</v>
      </c>
      <c r="D1997" t="s">
        <v>31</v>
      </c>
      <c r="E1997">
        <v>125</v>
      </c>
      <c r="F1997" s="6">
        <v>1000</v>
      </c>
      <c r="G1997" s="6">
        <v>700</v>
      </c>
      <c r="H1997" s="6">
        <v>125000</v>
      </c>
      <c r="I1997" s="5">
        <f t="shared" si="31"/>
        <v>37500</v>
      </c>
    </row>
    <row r="1998" spans="1:9" x14ac:dyDescent="0.3">
      <c r="A1998" t="s">
        <v>496</v>
      </c>
      <c r="B1998" t="s">
        <v>36</v>
      </c>
      <c r="C1998" t="s">
        <v>17</v>
      </c>
      <c r="D1998" t="s">
        <v>15</v>
      </c>
      <c r="E1998">
        <v>80</v>
      </c>
      <c r="F1998" s="6">
        <v>4000</v>
      </c>
      <c r="G1998" s="6">
        <v>3000</v>
      </c>
      <c r="H1998" s="6">
        <v>320000</v>
      </c>
      <c r="I1998" s="5">
        <f t="shared" si="31"/>
        <v>80000</v>
      </c>
    </row>
    <row r="1999" spans="1:9" x14ac:dyDescent="0.3">
      <c r="A1999" t="s">
        <v>234</v>
      </c>
      <c r="B1999" t="s">
        <v>40</v>
      </c>
      <c r="C1999" t="s">
        <v>26</v>
      </c>
      <c r="D1999" t="s">
        <v>31</v>
      </c>
      <c r="E1999">
        <v>57</v>
      </c>
      <c r="F1999" s="6">
        <v>1000</v>
      </c>
      <c r="G1999" s="6">
        <v>700</v>
      </c>
      <c r="H1999" s="6">
        <v>57000</v>
      </c>
      <c r="I1999" s="5">
        <f t="shared" si="31"/>
        <v>17100</v>
      </c>
    </row>
    <row r="2000" spans="1:9" x14ac:dyDescent="0.3">
      <c r="A2000" t="s">
        <v>580</v>
      </c>
      <c r="B2000" t="s">
        <v>9</v>
      </c>
      <c r="C2000" t="s">
        <v>10</v>
      </c>
      <c r="D2000" t="s">
        <v>21</v>
      </c>
      <c r="E2000">
        <v>135</v>
      </c>
      <c r="F2000" s="6">
        <v>600</v>
      </c>
      <c r="G2000" s="6">
        <v>400</v>
      </c>
      <c r="H2000" s="6">
        <v>81000</v>
      </c>
      <c r="I2000" s="5">
        <f t="shared" si="31"/>
        <v>27000</v>
      </c>
    </row>
    <row r="2001" spans="1:9" x14ac:dyDescent="0.3">
      <c r="A2001" t="s">
        <v>682</v>
      </c>
      <c r="B2001" t="s">
        <v>20</v>
      </c>
      <c r="C2001" t="s">
        <v>14</v>
      </c>
      <c r="D2001" t="s">
        <v>18</v>
      </c>
      <c r="E2001">
        <v>141</v>
      </c>
      <c r="F2001" s="6">
        <v>6000</v>
      </c>
      <c r="G2001" s="6">
        <v>4000</v>
      </c>
      <c r="H2001" s="6">
        <v>846000</v>
      </c>
      <c r="I2001" s="5">
        <f t="shared" si="31"/>
        <v>282000</v>
      </c>
    </row>
  </sheetData>
  <pageMargins left="0.75" right="0.75" top="1" bottom="1" header="0.5" footer="0.5"/>
  <pageSetup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tables</vt:lpstr>
      <vt:lpstr>Dashboard</vt:lpstr>
      <vt:lpstr>Sales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Gopi ⭐</cp:lastModifiedBy>
  <cp:lastPrinted>2026-06-10T08:16:52Z</cp:lastPrinted>
  <dcterms:created xsi:type="dcterms:W3CDTF">2026-06-10T07:35:58Z</dcterms:created>
  <dcterms:modified xsi:type="dcterms:W3CDTF">2026-06-14T00:58:11Z</dcterms:modified>
</cp:coreProperties>
</file>